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xl/tables/table8.xml" ContentType="application/vnd.openxmlformats-officedocument.spreadsheetml.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abajo\Desktop\Legalizaciones-TC-Emobility\salida\"/>
    </mc:Choice>
  </mc:AlternateContent>
  <xr:revisionPtr revIDLastSave="0" documentId="8_{4CCAE963-3CA2-409D-ABD9-EBCB771713C6}" xr6:coauthVersionLast="47" xr6:coauthVersionMax="47" xr10:uidLastSave="{00000000-0000-0000-0000-000000000000}"/>
  <bookViews>
    <workbookView xWindow="-108" yWindow="-108" windowWidth="23256" windowHeight="12456" xr2:uid="{312E82D3-3339-421A-B412-6924CBB20F64}"/>
  </bookViews>
  <sheets>
    <sheet name="Inicio" sheetId="1" r:id="rId1"/>
    <sheet name="Resumen" sheetId="2" r:id="rId2"/>
    <sheet name="Registro" sheetId="3" r:id="rId3"/>
    <sheet name="Alertas" sheetId="4" r:id="rId4"/>
    <sheet name="Consolidado_Operam" sheetId="5" r:id="rId5"/>
    <sheet name="Control_Operam" sheetId="6" r:id="rId6"/>
    <sheet name="Gastos" sheetId="7" r:id="rId7"/>
    <sheet name="Soportes" sheetId="8" r:id="rId8"/>
    <sheet name="Errores_Lectura" sheetId="9" r:id="rId9"/>
    <sheet name="Listas" sheetId="10" state="hidden" r:id="rId10"/>
  </sheets>
  <definedNames>
    <definedName name="DatosExternos_1" localSheetId="3" hidden="1">Alertas!$A$1:$D$8</definedName>
    <definedName name="DatosExternos_1" localSheetId="4" hidden="1">Consolidado_Operam!$A$1:$P$4</definedName>
    <definedName name="DatosExternos_1" localSheetId="8" hidden="1">Errores_Lectura!$A$1:$D$2</definedName>
    <definedName name="DatosExternos_1" localSheetId="6" hidden="1">Gastos!$A$1:$N$10</definedName>
    <definedName name="DatosExternos_1" localSheetId="2" hidden="1">Registro!$A$1:$M$8</definedName>
    <definedName name="DatosExternos_1" localSheetId="1" hidden="1">Resumen!$A$8:$F$10</definedName>
    <definedName name="DatosExternos_1" localSheetId="7" hidden="1">Soportes!$A$1:$H$15</definedName>
    <definedName name="fechaMinimaCarga">Listas!$B$2</definedName>
    <definedName name="lstEstados">Listas!$A$2:$A$5</definedName>
    <definedName name="lstIdsRegistro">tblRegistro[ID Legalización]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" i="2" l="1"/>
  <c r="B5" i="2"/>
  <c r="B4" i="2"/>
  <c r="B3" i="2"/>
  <c r="B2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9C7941-3131-4AD7-BBEE-438B5C7ADDDF}" keepAlive="1" name="Conexión" type="5" refreshedVersion="8" background="1" saveData="1">
    <dbPr connection="Provider=Microsoft.Mashup.OleDb.1;Data Source=$Workbook$;Location=Registro;Extended Properties=&quot;&quot;" command="SELECT * FROM [Registro]"/>
  </connection>
  <connection id="2" xr16:uid="{45FCD165-09C8-435C-9B63-AB5F62D4CF6D}" keepAlive="1" name="Conexión1" type="5" refreshedVersion="8" background="1" saveData="1">
    <dbPr connection="Provider=Microsoft.Mashup.OleDb.1;Data Source=$Workbook$;Location=Soportes;Extended Properties=&quot;&quot;" command="SELECT * FROM [Soportes]"/>
  </connection>
  <connection id="3" xr16:uid="{011A413A-71F4-4534-AE71-F1B7FFEFB67F}" keepAlive="1" name="Conexión2" type="5" refreshedVersion="8" background="1" saveData="1">
    <dbPr connection="Provider=Microsoft.Mashup.OleDb.1;Data Source=$Workbook$;Location=Gastos;Extended Properties=&quot;&quot;" command="SELECT * FROM [Gastos]"/>
  </connection>
  <connection id="4" xr16:uid="{F8D88F2A-0C40-4F6C-A738-01CB96CF3E53}" keepAlive="1" name="Conexión3" type="5" refreshedVersion="8" background="1" saveData="1">
    <dbPr connection="Provider=Microsoft.Mashup.OleDb.1;Data Source=$Workbook$;Location=Gastos_Errores;Extended Properties=&quot;&quot;" command="SELECT * FROM [Gastos_Errores]"/>
  </connection>
  <connection id="5" xr16:uid="{013DE995-2301-4169-B3BB-B6AD23E04058}" keepAlive="1" name="Conexión4" type="5" refreshedVersion="8" background="1" saveData="1">
    <dbPr connection="Provider=Microsoft.Mashup.OleDb.1;Data Source=$Workbook$;Location=Consolidado_Operam;Extended Properties=&quot;&quot;" command="SELECT * FROM [Consolidado_Operam]"/>
  </connection>
  <connection id="6" xr16:uid="{BBAB3897-01C7-4782-9246-A3E4447359F3}" keepAlive="1" name="Conexión5" type="5" refreshedVersion="8" background="1" saveData="1">
    <dbPr connection="Provider=Microsoft.Mashup.OleDb.1;Data Source=$Workbook$;Location=Alertas;Extended Properties=&quot;&quot;" command="SELECT * FROM [Alertas]"/>
  </connection>
  <connection id="7" xr16:uid="{535D390D-5738-4797-949D-0E2A2ECC79EA}" keepAlive="1" name="Conexión6" type="5" refreshedVersion="8" background="1" saveData="1">
    <dbPr connection="Provider=Microsoft.Mashup.OleDb.1;Data Source=$Workbook$;Location=Resumen_Mensual;Extended Properties=&quot;&quot;" command="SELECT * FROM [Resumen_Mensual]"/>
  </connection>
</connections>
</file>

<file path=xl/sharedStrings.xml><?xml version="1.0" encoding="utf-8"?>
<sst xmlns="http://schemas.openxmlformats.org/spreadsheetml/2006/main" count="400" uniqueCount="213">
  <si>
    <t>Estados</t>
  </si>
  <si>
    <t>Pendiente</t>
  </si>
  <si>
    <t>En revisión</t>
  </si>
  <si>
    <t>Rechazada</t>
  </si>
  <si>
    <t>Aprobada</t>
  </si>
  <si>
    <t>Fecha mínima de carga</t>
  </si>
  <si>
    <t>ID Legalización</t>
  </si>
  <si>
    <t>Fecha Carga</t>
  </si>
  <si>
    <t>Cargado Por</t>
  </si>
  <si>
    <t>Referencia Operam</t>
  </si>
  <si>
    <t>Observaciones</t>
  </si>
  <si>
    <t>LEG-202608-00095</t>
  </si>
  <si>
    <t>Contabilidad (DEMO)</t>
  </si>
  <si>
    <t>OP-2026-0815</t>
  </si>
  <si>
    <t>Ejemplo: caso ya cargado; no aparece en Consolidado_Operam.</t>
  </si>
  <si>
    <t>Fecha Recepción</t>
  </si>
  <si>
    <t>Colaborador</t>
  </si>
  <si>
    <t>Correo</t>
  </si>
  <si>
    <t>Asunto</t>
  </si>
  <si>
    <t>Nombre Archivo</t>
  </si>
  <si>
    <t>Estado</t>
  </si>
  <si>
    <t>Fecha Cierre</t>
  </si>
  <si>
    <t>Mes Recepción</t>
  </si>
  <si>
    <t>Días Abierto</t>
  </si>
  <si>
    <t>Posible Duplicado</t>
  </si>
  <si>
    <t>Enlace</t>
  </si>
  <si>
    <t>LEG-202609-00104</t>
  </si>
  <si>
    <t>Ana Pérez (DEMO)</t>
  </si>
  <si>
    <t>ana.perez@ejemplo.com</t>
  </si>
  <si>
    <t>RV: Legalización Tarjeta Crédito - Ana Pérez</t>
  </si>
  <si>
    <t>A001_factura.pdf
Gastos_Q1.xlsx</t>
  </si>
  <si>
    <t>[Interno] Posible duplicado de LEG-202609-00101: mismo remitente y mismo nombre de archivo en los últimos 45 días.</t>
  </si>
  <si>
    <t>2026-09</t>
  </si>
  <si>
    <t>https://ejemplo.sharepoint.com/sites/Legalizaciones-TC/Lists/Registro_Legalizaciones_TC/DispForm.aspx?ID=104</t>
  </si>
  <si>
    <t>LEG-202609-00106</t>
  </si>
  <si>
    <t>Carla Méndez (DEMO)</t>
  </si>
  <si>
    <t>carla.mendez@ejemplo.com</t>
  </si>
  <si>
    <t>Legalización Tarjeta Crédito - Carla Méndez</t>
  </si>
  <si>
    <t>F100_factura.pdf
Gastos_formato_libre.xlsx</t>
  </si>
  <si>
    <t>https://ejemplo.sharepoint.com/sites/Legalizaciones-TC/Lists/Registro_Legalizaciones_TC/DispForm.aspx?ID=106</t>
  </si>
  <si>
    <t>LEG-202609-00105</t>
  </si>
  <si>
    <t>Jorge Ruiz (DEMO)</t>
  </si>
  <si>
    <t>jorge.ruiz@ejemplo.com</t>
  </si>
  <si>
    <t>Legalización Tarjeta Crédito - Jorge Ruiz</t>
  </si>
  <si>
    <t>E550_factura.pdf
Gastos_Q1.xlsx</t>
  </si>
  <si>
    <t>La factura no corresponde a un gasto de la tarjeta corporativa.</t>
  </si>
  <si>
    <t>https://ejemplo.sharepoint.com/sites/Legalizaciones-TC/Lists/Registro_Legalizaciones_TC/DispForm.aspx?ID=105</t>
  </si>
  <si>
    <t>LEG-202609-00103</t>
  </si>
  <si>
    <t>María Díaz (DEMO)</t>
  </si>
  <si>
    <t>maria.diaz@ejemplo.com</t>
  </si>
  <si>
    <t>Legalización Tarjeta Crédito - María Díaz</t>
  </si>
  <si>
    <t>D031_factura.pdf</t>
  </si>
  <si>
    <t>Falta el comprobante quincenal en Excel (.xlsx).</t>
  </si>
  <si>
    <t>https://ejemplo.sharepoint.com/sites/Legalizaciones-TC/Lists/Registro_Legalizaciones_TC/DispForm.aspx?ID=103</t>
  </si>
  <si>
    <t>LEG-202609-00102</t>
  </si>
  <si>
    <t>Luis Gómez (DEMO)</t>
  </si>
  <si>
    <t>luis.gomez@ejemplo.com</t>
  </si>
  <si>
    <t>Legalización Tarjeta Crédito - Luis Gómez</t>
  </si>
  <si>
    <t>C220_factura.pdf
Gastos_Q1.xlsx</t>
  </si>
  <si>
    <t>https://ejemplo.sharepoint.com/sites/Legalizaciones-TC/Lists/Registro_Legalizaciones_TC/DispForm.aspx?ID=102</t>
  </si>
  <si>
    <t>LEG-202609-00101</t>
  </si>
  <si>
    <t>Legalización Tarjeta Crédito - Ana Pérez</t>
  </si>
  <si>
    <t>A001_factura.pdf
Gastos_Q1.xlsx
A001_cfdi.xml</t>
  </si>
  <si>
    <t>https://ejemplo.sharepoint.com/sites/Legalizaciones-TC/Lists/Registro_Legalizaciones_TC/DispForm.aspx?ID=101</t>
  </si>
  <si>
    <t>Pedro Soto (DEMO)</t>
  </si>
  <si>
    <t>pedro.soto@ejemplo.com</t>
  </si>
  <si>
    <t>Legalización Tarjeta Crédito - Pedro Soto</t>
  </si>
  <si>
    <t>B017_factura.pdf
Gastos_Q2.xlsx</t>
  </si>
  <si>
    <t>2026-08</t>
  </si>
  <si>
    <t>https://ejemplo.sharepoint.com/sites/Legalizaciones-TC/Lists/Registro_Legalizaciones_TC/DispForm.aspx?ID=95</t>
  </si>
  <si>
    <t>Nombre Guardado</t>
  </si>
  <si>
    <t>Tipo</t>
  </si>
  <si>
    <t>Carpeta Estado</t>
  </si>
  <si>
    <t>Extensión</t>
  </si>
  <si>
    <t>Ruta</t>
  </si>
  <si>
    <t>Fecha Creación</t>
  </si>
  <si>
    <t>F100_factura.pdf</t>
  </si>
  <si>
    <t>LEG-202609-00106_F100_factura.pdf</t>
  </si>
  <si>
    <t>factura</t>
  </si>
  <si>
    <t>Pendientes</t>
  </si>
  <si>
    <t>.pdf</t>
  </si>
  <si>
    <t>https://ejemplo.sharepoint.com/sites/Legalizaciones-TC/Legalizaciones_TC/Pendientes/LEG-202609-00106_F100_factura.pdf</t>
  </si>
  <si>
    <t>Gastos_formato_libre.xlsx</t>
  </si>
  <si>
    <t>LEG-202609-00106_Gastos_formato_libre.xlsx</t>
  </si>
  <si>
    <t>comprobante</t>
  </si>
  <si>
    <t>.xlsx</t>
  </si>
  <si>
    <t>https://ejemplo.sharepoint.com/sites/Legalizaciones-TC/Legalizaciones_TC/Pendientes/LEG-202609-00106_Gastos_formato_libre.xlsx</t>
  </si>
  <si>
    <t>E550_factura.pdf</t>
  </si>
  <si>
    <t>LEG-202609-00105_E550_factura.pdf</t>
  </si>
  <si>
    <t>Rechazadas</t>
  </si>
  <si>
    <t>https://ejemplo.sharepoint.com/sites/Legalizaciones-TC/Legalizaciones_TC/Rechazadas/LEG-202609-00105_E550_factura.pdf</t>
  </si>
  <si>
    <t>Gastos_Q1.xlsx</t>
  </si>
  <si>
    <t>LEG-202609-00105_Gastos_Q1.xlsx</t>
  </si>
  <si>
    <t>https://ejemplo.sharepoint.com/sites/Legalizaciones-TC/Legalizaciones_TC/Rechazadas/LEG-202609-00105_Gastos_Q1.xlsx</t>
  </si>
  <si>
    <t>A001_factura.pdf</t>
  </si>
  <si>
    <t>LEG-202609-00104_A001_factura.pdf</t>
  </si>
  <si>
    <t>https://ejemplo.sharepoint.com/sites/Legalizaciones-TC/Legalizaciones_TC/Pendientes/LEG-202609-00104_A001_factura.pdf</t>
  </si>
  <si>
    <t>LEG-202609-00104_Gastos_Q1.xlsx</t>
  </si>
  <si>
    <t>https://ejemplo.sharepoint.com/sites/Legalizaciones-TC/Legalizaciones_TC/Pendientes/LEG-202609-00104_Gastos_Q1.xlsx</t>
  </si>
  <si>
    <t>LEG-202609-00103_D031_factura.pdf</t>
  </si>
  <si>
    <t>https://ejemplo.sharepoint.com/sites/Legalizaciones-TC/Legalizaciones_TC/Pendientes/LEG-202609-00103_D031_factura.pdf</t>
  </si>
  <si>
    <t>C220_factura.pdf</t>
  </si>
  <si>
    <t>LEG-202609-00102_C220_factura.pdf</t>
  </si>
  <si>
    <t>https://ejemplo.sharepoint.com/sites/Legalizaciones-TC/Legalizaciones_TC/Pendientes/LEG-202609-00102_C220_factura.pdf</t>
  </si>
  <si>
    <t>LEG-202609-00102_Gastos_Q1.xlsx</t>
  </si>
  <si>
    <t>https://ejemplo.sharepoint.com/sites/Legalizaciones-TC/Legalizaciones_TC/Pendientes/LEG-202609-00102_Gastos_Q1.xlsx</t>
  </si>
  <si>
    <t>A001_cfdi.xml</t>
  </si>
  <si>
    <t>LEG-202609-00101_A001_cfdi.xml</t>
  </si>
  <si>
    <t>xml</t>
  </si>
  <si>
    <t>Aprobadas</t>
  </si>
  <si>
    <t>.xml</t>
  </si>
  <si>
    <t>https://ejemplo.sharepoint.com/sites/Legalizaciones-TC/Legalizaciones_TC/Aprobadas/LEG-202609-00101_A001_cfdi.xml</t>
  </si>
  <si>
    <t>LEG-202609-00101_A001_factura.pdf</t>
  </si>
  <si>
    <t>https://ejemplo.sharepoint.com/sites/Legalizaciones-TC/Legalizaciones_TC/Aprobadas/LEG-202609-00101_A001_factura.pdf</t>
  </si>
  <si>
    <t>LEG-202609-00101_Gastos_Q1.xlsx</t>
  </si>
  <si>
    <t>https://ejemplo.sharepoint.com/sites/Legalizaciones-TC/Legalizaciones_TC/Aprobadas/LEG-202609-00101_Gastos_Q1.xlsx</t>
  </si>
  <si>
    <t>B017_factura.pdf</t>
  </si>
  <si>
    <t>LEG-202608-00095_B017_factura.pdf</t>
  </si>
  <si>
    <t>https://ejemplo.sharepoint.com/sites/Legalizaciones-TC/Legalizaciones_TC/Aprobadas/LEG-202608-00095_B017_factura.pdf</t>
  </si>
  <si>
    <t>Gastos_Q2.xlsx</t>
  </si>
  <si>
    <t>LEG-202608-00095_Gastos_Q2.xlsx</t>
  </si>
  <si>
    <t>https://ejemplo.sharepoint.com/sites/Legalizaciones-TC/Legalizaciones_TC/Aprobadas/LEG-202608-00095_Gastos_Q2.xlsx</t>
  </si>
  <si>
    <t>Archivo</t>
  </si>
  <si>
    <t>Fecha</t>
  </si>
  <si>
    <t>Número Factura</t>
  </si>
  <si>
    <t>Proveedor</t>
  </si>
  <si>
    <t>Id Fiscal Proveedor</t>
  </si>
  <si>
    <t>Concepto</t>
  </si>
  <si>
    <t>Centro de Costo</t>
  </si>
  <si>
    <t>Subtotal</t>
  </si>
  <si>
    <t>IVA</t>
  </si>
  <si>
    <t>Total</t>
  </si>
  <si>
    <t>Moneda</t>
  </si>
  <si>
    <t>Folio Fiscal</t>
  </si>
  <si>
    <t>Diferencia</t>
  </si>
  <si>
    <t>B017</t>
  </si>
  <si>
    <t>Hotel Centro SA de CV</t>
  </si>
  <si>
    <t>HCE010101AB1</t>
  </si>
  <si>
    <t>Hospedaje visita a cliente</t>
  </si>
  <si>
    <t>CC-VENTAS</t>
  </si>
  <si>
    <t>MXN</t>
  </si>
  <si>
    <t>7C1B9E2A-0000-4000-8000-000000000095</t>
  </si>
  <si>
    <t>B018</t>
  </si>
  <si>
    <t>Taxis Ejecutivos SA</t>
  </si>
  <si>
    <t>TEJ020202CD2</t>
  </si>
  <si>
    <t>Traslado aeropuerto</t>
  </si>
  <si>
    <t>A001</t>
  </si>
  <si>
    <t>Papelería Moderna SA</t>
  </si>
  <si>
    <t>PMO030303EF3</t>
  </si>
  <si>
    <t>Material de oficina</t>
  </si>
  <si>
    <t>CC-ADMIN</t>
  </si>
  <si>
    <t>5D2A1B3C-0000-4000-8000-000000000101</t>
  </si>
  <si>
    <t>A002</t>
  </si>
  <si>
    <t>Restaurante El Puerto</t>
  </si>
  <si>
    <t>REP040404GH4</t>
  </si>
  <si>
    <t>Comida con proveedor</t>
  </si>
  <si>
    <t>CC-COMPRAS</t>
  </si>
  <si>
    <t>A003</t>
  </si>
  <si>
    <t>Gasolinera Norte</t>
  </si>
  <si>
    <t>GNO050505IJ5</t>
  </si>
  <si>
    <t>Combustible vehículo de reparto</t>
  </si>
  <si>
    <t>CC-LOGISTICA</t>
  </si>
  <si>
    <t>C220</t>
  </si>
  <si>
    <t>Aerolínea Nacional</t>
  </si>
  <si>
    <t>ANA060606KL6</t>
  </si>
  <si>
    <t>Vuelo a Monterrey</t>
  </si>
  <si>
    <t>C221</t>
  </si>
  <si>
    <t>Hotel Norte</t>
  </si>
  <si>
    <t>HNO070707MN7</t>
  </si>
  <si>
    <t>Hospedaje Monterrey</t>
  </si>
  <si>
    <t>E550</t>
  </si>
  <si>
    <t>Tienda Departamental</t>
  </si>
  <si>
    <t>TDE080808OP8</t>
  </si>
  <si>
    <t>Compra personal</t>
  </si>
  <si>
    <t>Error</t>
  </si>
  <si>
    <t>No se encontró la tabla tblGastos: el archivo no usa la plantilla del comprobante.</t>
  </si>
  <si>
    <t>Alerta</t>
  </si>
  <si>
    <t>Detalle</t>
  </si>
  <si>
    <t>Caso abierto hace más de 5 días</t>
  </si>
  <si>
    <t>Estado Pendiente desde hace 6 días.</t>
  </si>
  <si>
    <t>Estado En revisión desde hace 7 días.</t>
  </si>
  <si>
    <t>Posible duplicado sin resolver</t>
  </si>
  <si>
    <t>Caso cerrado sin Fecha Cierre</t>
  </si>
  <si>
    <t>Estado Aprobada. Revise el flujo LEG-02 (debió registrar la fecha y mover los archivos).</t>
  </si>
  <si>
    <t>Aprobada sin comprobante legible</t>
  </si>
  <si>
    <t>No hay líneas de gasto para cargar a Operam.</t>
  </si>
  <si>
    <t>Comprobante ilegible</t>
  </si>
  <si>
    <t>LEG-202609-00106_Gastos_formato_libre.xlsx: No se encontró la tabla tblGastos: el archivo no usa la plantilla del comprobante.</t>
  </si>
  <si>
    <t>Totales no cuadran</t>
  </si>
  <si>
    <t>Factura C221: Subtotal + IVA - Total = -12,00</t>
  </si>
  <si>
    <t>Resumen de legalizaciones</t>
  </si>
  <si>
    <t>Casos en el registro</t>
  </si>
  <si>
    <t>Casos abiertos</t>
  </si>
  <si>
    <t>Líneas de gasto por cargar a Operam</t>
  </si>
  <si>
    <t>Alertas</t>
  </si>
  <si>
    <t>Casos por mes de recepción y estado</t>
  </si>
  <si>
    <t>Análisis de legalizaciones de tarjetas corporativas</t>
  </si>
  <si>
    <t>Emobility · Fase 1 · Generado el 28/09/2026 19:24 · Modo: Demostracion</t>
  </si>
  <si>
    <t>Cómo usarlo</t>
  </si>
  <si>
    <t>1. Datos &gt; Actualizar todo. La primera vez, inicie sesión con su cuenta de Microsoft 365 (Cuenta organizacional).</t>
  </si>
  <si>
    <t>2. Revise las hojas Alertas y Resumen.</t>
  </si>
  <si>
    <t>3. Consolidado_Operam muestra los gastos de los casos Aprobados que todavía no se cargaron en Operam.</t>
  </si>
  <si>
    <t>4. Después de cargarlos en Operam, anote cada ID en la hoja Control_Operam y vuelva a actualizar: desaparecen del consolidado.</t>
  </si>
  <si>
    <t>5. El estado de cada caso se cambia en SharePoint (lista Registro_Legalizaciones_TC), no en este libro.</t>
  </si>
  <si>
    <t>Hojas</t>
  </si>
  <si>
    <t>Resumen: indicadores y casos por mes.   Registro: todos los casos.   Alertas: controles de calidad.</t>
  </si>
  <si>
    <t>Consolidado_Operam: gastos por cargar.   Control_Operam: registro manual de lo cargado.</t>
  </si>
  <si>
    <t>Gastos: líneas de todos los comprobantes.   Soportes: archivos por caso.   Errores_Lectura: comprobantes que no usan la plantilla.</t>
  </si>
  <si>
    <t>Parámetros (Datos &gt; Consultas y conexiones)</t>
  </si>
  <si>
    <t>pSitioUrl = https://ejemplo.sharepoint.com/sites/Legalizaciones-TC</t>
  </si>
  <si>
    <t>pListaRegistro = Registro_Legalizaciones_TC   ·   pRutaBiblioteca = /Legalizaciones_TC/</t>
  </si>
  <si>
    <t>pDesfaseHorasUTC = -6 (Mexico)   ·   pDiasAlertaAbierto = 5</t>
  </si>
  <si>
    <t>pModo = Demostracion   (SharePoint: datos reales · Demostracion: datos de ejemplo · Vacio: sin datos)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</si>
</sst>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dd/mm/yyyy\ hh:mm"/>
    <numFmt numFmtId="166" formatCode="#.##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63">
    <dxf>
      <numFmt numFmtId="165" formatCode="dd/mm/yyyy\ hh:mm"/>
    </dxf>
    <dxf>
      <numFmt numFmtId="0" formatCode="General"/>
    </dxf>
    <dxf>
      <numFmt numFmtId="166" formatCode="#.##000"/>
    </dxf>
    <dxf>
      <numFmt numFmtId="0" formatCode="General"/>
    </dxf>
    <dxf>
      <numFmt numFmtId="166" formatCode="#.##000"/>
    </dxf>
    <dxf>
      <numFmt numFmtId="0" formatCode="General"/>
    </dxf>
    <dxf>
      <numFmt numFmtId="166" formatCode="#.##000"/>
    </dxf>
    <dxf>
      <numFmt numFmtId="166" formatCode="#.##000"/>
    </dxf>
    <dxf>
      <numFmt numFmtId="0" formatCode="General"/>
    </dxf>
    <dxf>
      <numFmt numFmtId="166" formatCode="#.##000"/>
    </dxf>
    <dxf>
      <numFmt numFmtId="166" formatCode="#.##000"/>
    </dxf>
    <dxf>
      <numFmt numFmtId="166" formatCode="#.##000"/>
    </dxf>
    <dxf>
      <numFmt numFmtId="0" formatCode="General"/>
    </dxf>
    <dxf>
      <numFmt numFmtId="0" formatCode="General"/>
    </dxf>
    <dxf>
      <numFmt numFmtId="164" formatCode="dd/mm/yyyy"/>
    </dxf>
    <dxf>
      <numFmt numFmtId="0" formatCode="General"/>
    </dxf>
    <dxf>
      <numFmt numFmtId="0" formatCode="General"/>
    </dxf>
    <dxf>
      <numFmt numFmtId="164" formatCode="dd/mm/yyyy"/>
    </dxf>
    <dxf>
      <numFmt numFmtId="0" formatCode="General"/>
    </dxf>
    <dxf>
      <numFmt numFmtId="0" formatCode="General"/>
    </dxf>
    <dxf>
      <numFmt numFmtId="165" formatCode="dd/mm/yyyy\ hh:mm"/>
    </dxf>
    <dxf>
      <numFmt numFmtId="0" formatCode="General"/>
    </dxf>
    <dxf>
      <numFmt numFmtId="0" formatCode="General"/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DDEBF7"/>
        </patternFill>
      </fill>
    </dxf>
    <dxf>
      <fill>
        <patternFill>
          <bgColor rgb="FFFFEB9C"/>
        </patternFill>
      </fill>
    </dxf>
    <dxf>
      <numFmt numFmtId="165" formatCode="dd/mm/yyyy\ hh:mm"/>
    </dxf>
    <dxf>
      <numFmt numFmtId="0" formatCode="General"/>
    </dxf>
    <dxf>
      <numFmt numFmtId="0" formatCode="General"/>
    </dxf>
    <dxf>
      <numFmt numFmtId="165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adjustColumnWidth="0" connectionId="7" xr16:uid="{177FDD37-F123-44CF-882F-47E590E47096}" autoFormatId="16" applyNumberFormats="0" applyBorderFormats="0" applyFontFormats="1" applyPatternFormats="1" applyAlignmentFormats="0" applyWidthHeightFormats="0">
  <queryTableRefresh nextId="7">
    <queryTableFields count="6">
      <queryTableField id="1" name="Mes Recepción" tableColumnId="7"/>
      <queryTableField id="2" name="Pendiente" tableColumnId="8"/>
      <queryTableField id="3" name="En revisión" tableColumnId="9"/>
      <queryTableField id="4" name="Rechazada" tableColumnId="10"/>
      <queryTableField id="5" name="Aprobada" tableColumnId="11"/>
      <queryTableField id="6" name="Total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adjustColumnWidth="0" connectionId="1" xr16:uid="{EE7C6C5D-D652-457B-B832-7E55F9434BCC}" autoFormatId="16" applyNumberFormats="0" applyBorderFormats="0" applyFontFormats="1" applyPatternFormats="1" applyAlignmentFormats="0" applyWidthHeightFormats="0">
  <queryTableRefresh nextId="14">
    <queryTableFields count="13">
      <queryTableField id="1" name="ID Legalización" tableColumnId="14"/>
      <queryTableField id="2" name="Fecha Recepción" tableColumnId="15"/>
      <queryTableField id="3" name="Colaborador" tableColumnId="16"/>
      <queryTableField id="4" name="Correo" tableColumnId="17"/>
      <queryTableField id="5" name="Asunto" tableColumnId="18"/>
      <queryTableField id="6" name="Nombre Archivo" tableColumnId="19"/>
      <queryTableField id="7" name="Estado" tableColumnId="20"/>
      <queryTableField id="8" name="Observaciones" tableColumnId="21"/>
      <queryTableField id="9" name="Fecha Cierre" tableColumnId="22"/>
      <queryTableField id="10" name="Mes Recepción" tableColumnId="23"/>
      <queryTableField id="11" name="Días Abierto" tableColumnId="24"/>
      <queryTableField id="12" name="Posible Duplicado" tableColumnId="25"/>
      <queryTableField id="13" name="Enlace" tableColumnId="2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adjustColumnWidth="0" connectionId="6" xr16:uid="{36AE728F-8768-4639-8C09-E3C613B32722}" autoFormatId="16" applyNumberFormats="0" applyBorderFormats="0" applyFontFormats="1" applyPatternFormats="1" applyAlignmentFormats="0" applyWidthHeightFormats="0">
  <queryTableRefresh nextId="5">
    <queryTableFields count="4">
      <queryTableField id="1" name="Alerta" tableColumnId="5"/>
      <queryTableField id="2" name="ID Legalización" tableColumnId="6"/>
      <queryTableField id="3" name="Colaborador" tableColumnId="7"/>
      <queryTableField id="4" name="Detalle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adjustColumnWidth="0" connectionId="5" xr16:uid="{72857295-4333-42C8-A59A-214A084B1B76}" autoFormatId="16" applyNumberFormats="0" applyBorderFormats="0" applyFontFormats="1" applyPatternFormats="1" applyAlignmentFormats="0" applyWidthHeightFormats="0">
  <queryTableRefresh nextId="17">
    <queryTableFields count="16">
      <queryTableField id="1" name="ID Legalización" tableColumnId="17"/>
      <queryTableField id="2" name="Fecha Cierre" tableColumnId="18"/>
      <queryTableField id="3" name="Colaborador" tableColumnId="19"/>
      <queryTableField id="4" name="Correo" tableColumnId="20"/>
      <queryTableField id="5" name="Fecha" tableColumnId="21"/>
      <queryTableField id="6" name="Número Factura" tableColumnId="22"/>
      <queryTableField id="7" name="Proveedor" tableColumnId="23"/>
      <queryTableField id="8" name="Id Fiscal Proveedor" tableColumnId="24"/>
      <queryTableField id="9" name="Concepto" tableColumnId="25"/>
      <queryTableField id="10" name="Centro de Costo" tableColumnId="26"/>
      <queryTableField id="11" name="Subtotal" tableColumnId="27"/>
      <queryTableField id="12" name="IVA" tableColumnId="28"/>
      <queryTableField id="13" name="Total" tableColumnId="29"/>
      <queryTableField id="14" name="Moneda" tableColumnId="30"/>
      <queryTableField id="15" name="Folio Fiscal" tableColumnId="31"/>
      <queryTableField id="16" name="Archivo" tableColumnId="3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adjustColumnWidth="0" connectionId="3" xr16:uid="{E318D0EE-2601-46C8-A2D0-538119653DA0}" autoFormatId="16" applyNumberFormats="0" applyBorderFormats="0" applyFontFormats="1" applyPatternFormats="1" applyAlignmentFormats="0" applyWidthHeightFormats="0">
  <queryTableRefresh nextId="15">
    <queryTableFields count="14">
      <queryTableField id="1" name="ID Legalización" tableColumnId="15"/>
      <queryTableField id="2" name="Archivo" tableColumnId="16"/>
      <queryTableField id="3" name="Fecha" tableColumnId="17"/>
      <queryTableField id="4" name="Número Factura" tableColumnId="18"/>
      <queryTableField id="5" name="Proveedor" tableColumnId="19"/>
      <queryTableField id="6" name="Id Fiscal Proveedor" tableColumnId="20"/>
      <queryTableField id="7" name="Concepto" tableColumnId="21"/>
      <queryTableField id="8" name="Centro de Costo" tableColumnId="22"/>
      <queryTableField id="9" name="Subtotal" tableColumnId="23"/>
      <queryTableField id="10" name="IVA" tableColumnId="24"/>
      <queryTableField id="11" name="Total" tableColumnId="25"/>
      <queryTableField id="12" name="Moneda" tableColumnId="26"/>
      <queryTableField id="13" name="Folio Fiscal" tableColumnId="27"/>
      <queryTableField id="14" name="Diferencia" tableColumnId="28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adjustColumnWidth="0" connectionId="2" xr16:uid="{C9F199BF-C282-4C43-9CB6-EEBF2F91AAF7}" autoFormatId="16" applyNumberFormats="0" applyBorderFormats="0" applyFontFormats="1" applyPatternFormats="1" applyAlignmentFormats="0" applyWidthHeightFormats="0">
  <queryTableRefresh nextId="9">
    <queryTableFields count="8">
      <queryTableField id="1" name="ID Legalización" tableColumnId="9"/>
      <queryTableField id="2" name="Nombre Archivo" tableColumnId="10"/>
      <queryTableField id="3" name="Nombre Guardado" tableColumnId="11"/>
      <queryTableField id="4" name="Tipo" tableColumnId="12"/>
      <queryTableField id="5" name="Carpeta Estado" tableColumnId="13"/>
      <queryTableField id="6" name="Extensión" tableColumnId="14"/>
      <queryTableField id="7" name="Ruta" tableColumnId="15"/>
      <queryTableField id="8" name="Fecha Creación" tableColumnId="16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adjustColumnWidth="0" connectionId="4" xr16:uid="{A558D1CF-67A7-4269-A2D7-0DEA8C120708}" autoFormatId="16" applyNumberFormats="0" applyBorderFormats="0" applyFontFormats="1" applyPatternFormats="1" applyAlignmentFormats="0" applyWidthHeightFormats="0">
  <queryTableRefresh nextId="5">
    <queryTableFields count="4">
      <queryTableField id="1" name="ID Legalización" tableColumnId="5"/>
      <queryTableField id="2" name="Archivo" tableColumnId="6"/>
      <queryTableField id="3" name="Ruta" tableColumnId="7"/>
      <queryTableField id="4" name="Error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D150116-D4B6-4AC1-BFDD-FE0766D0206D}" name="tblResumenMensual" displayName="tblResumenMensual" ref="A8:F10" tableType="queryTable" totalsRowShown="0">
  <autoFilter ref="A8:F10" xr:uid="{DD150116-D4B6-4AC1-BFDD-FE0766D0206D}"/>
  <tableColumns count="6">
    <tableColumn id="7" xr3:uid="{74DCFC22-D175-4EBA-B73D-2392E71272AD}" uniqueName="7" name="Mes Recepción" queryTableFieldId="1" dataDxfId="33"/>
    <tableColumn id="8" xr3:uid="{F0203DE4-CFB0-4CC0-92A7-36B6541FBE1C}" uniqueName="8" name="Pendiente" queryTableFieldId="2"/>
    <tableColumn id="9" xr3:uid="{0A4B8A54-B78E-4352-BEB1-3689A04E268C}" uniqueName="9" name="En revisión" queryTableFieldId="3"/>
    <tableColumn id="10" xr3:uid="{9C7F9EBD-A634-4F0D-B5EF-73EC6C8C7B88}" uniqueName="10" name="Rechazada" queryTableFieldId="4"/>
    <tableColumn id="11" xr3:uid="{002ABD22-A075-4154-B9A3-D67F9848157C}" uniqueName="11" name="Aprobada" queryTableFieldId="5"/>
    <tableColumn id="12" xr3:uid="{26539641-CAB6-4110-B9E4-C8AA46732C8B}" uniqueName="12" name="Total" queryTableField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7B2115-654A-41BF-8DAE-83757CACD17C}" name="tblRegistro" displayName="tblRegistro" ref="A1:M8" tableType="queryTable" totalsRowShown="0">
  <autoFilter ref="A1:M8" xr:uid="{227B2115-654A-41BF-8DAE-83757CACD17C}"/>
  <tableColumns count="13">
    <tableColumn id="14" xr3:uid="{AE50A5B1-D07F-442D-BE4E-69FDBB3F1638}" uniqueName="14" name="ID Legalización" queryTableFieldId="1" dataDxfId="32"/>
    <tableColumn id="15" xr3:uid="{B5B5E713-DD5E-461A-8AAE-F8027F207A25}" uniqueName="15" name="Fecha Recepción" queryTableFieldId="2" dataDxfId="30"/>
    <tableColumn id="16" xr3:uid="{918341FE-BDCB-402F-9282-38C85BD4C7C6}" uniqueName="16" name="Colaborador" queryTableFieldId="3" dataDxfId="31"/>
    <tableColumn id="17" xr3:uid="{49684782-C48A-4D4B-A952-FBD1B8258DDB}" uniqueName="17" name="Correo" queryTableFieldId="4" dataDxfId="61"/>
    <tableColumn id="18" xr3:uid="{5758F7F1-292A-4B9B-AE96-36E40754204C}" uniqueName="18" name="Asunto" queryTableFieldId="5" dataDxfId="60"/>
    <tableColumn id="19" xr3:uid="{A94843C7-42A5-489D-98D7-4620D8FA7DB0}" uniqueName="19" name="Nombre Archivo" queryTableFieldId="6" dataDxfId="59"/>
    <tableColumn id="20" xr3:uid="{B879D0CC-600E-4E4F-8357-73FAEC76186E}" uniqueName="20" name="Estado" queryTableFieldId="7" dataDxfId="58"/>
    <tableColumn id="21" xr3:uid="{DE880E65-D740-45AC-888B-181C60441300}" uniqueName="21" name="Observaciones" queryTableFieldId="8" dataDxfId="29"/>
    <tableColumn id="22" xr3:uid="{30724AB6-7362-47F8-8AEA-45981856F2C1}" uniqueName="22" name="Fecha Cierre" queryTableFieldId="9" dataDxfId="27"/>
    <tableColumn id="23" xr3:uid="{E8856143-68D0-4080-B6DC-B2A72B5C9B5A}" uniqueName="23" name="Mes Recepción" queryTableFieldId="10" dataDxfId="28"/>
    <tableColumn id="24" xr3:uid="{9D93B4FF-5795-40BF-9E0B-46FAF287F510}" uniqueName="24" name="Días Abierto" queryTableFieldId="11"/>
    <tableColumn id="25" xr3:uid="{712810D6-FBD8-4E1F-AF79-8ADB8A5025CB}" uniqueName="25" name="Posible Duplicado" queryTableFieldId="12"/>
    <tableColumn id="26" xr3:uid="{9CC11B4B-C3A3-4F78-A3AD-9444EF9814BA}" uniqueName="26" name="Enlace" queryTableFieldId="13" dataDxfId="5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D055718-E284-4EC4-B352-BEB60785049B}" name="tblAlertas" displayName="tblAlertas" ref="A1:D8" tableType="queryTable" totalsRowShown="0">
  <autoFilter ref="A1:D8" xr:uid="{6D055718-E284-4EC4-B352-BEB60785049B}"/>
  <tableColumns count="4">
    <tableColumn id="5" xr3:uid="{FB2BADE6-3F98-449A-8DBF-13B727251A7D}" uniqueName="5" name="Alerta" queryTableFieldId="1" dataDxfId="37"/>
    <tableColumn id="6" xr3:uid="{74413576-A0FC-4293-984E-1B1159D0FCE3}" uniqueName="6" name="ID Legalización" queryTableFieldId="2" dataDxfId="36"/>
    <tableColumn id="7" xr3:uid="{1C60446A-3460-4980-8A92-A02EDF2899A8}" uniqueName="7" name="Colaborador" queryTableFieldId="3" dataDxfId="35"/>
    <tableColumn id="8" xr3:uid="{F74B4791-EC7D-42EA-965C-171011DC6C79}" uniqueName="8" name="Detalle" queryTableFieldId="4" dataDxfId="3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1869186-4D1D-49F4-8089-89AFCD8774E4}" name="tblConsolidadoOperam" displayName="tblConsolidadoOperam" ref="A1:P4" tableType="queryTable" totalsRowShown="0">
  <autoFilter ref="A1:P4" xr:uid="{A1869186-4D1D-49F4-8089-89AFCD8774E4}"/>
  <tableColumns count="16">
    <tableColumn id="17" xr3:uid="{896215C9-18FF-453F-AC90-DBB00463CD17}" uniqueName="17" name="ID Legalización" queryTableFieldId="1" dataDxfId="22"/>
    <tableColumn id="18" xr3:uid="{A3351EC0-BA24-4876-BEAB-FDFCA9AC004F}" uniqueName="18" name="Fecha Cierre" queryTableFieldId="2" dataDxfId="20"/>
    <tableColumn id="19" xr3:uid="{F9455058-60A8-455C-BBDA-5B407606D2CC}" uniqueName="19" name="Colaborador" queryTableFieldId="3" dataDxfId="21"/>
    <tableColumn id="20" xr3:uid="{790ABDBF-9DD6-4F09-9AD3-2C7E821A5B5F}" uniqueName="20" name="Correo" queryTableFieldId="4" dataDxfId="19"/>
    <tableColumn id="21" xr3:uid="{A2AE7188-9F34-4163-A8EC-E0E76762948C}" uniqueName="21" name="Fecha" queryTableFieldId="5" dataDxfId="17"/>
    <tableColumn id="22" xr3:uid="{C9464221-79C9-47DB-AD0B-0A7EF9709E8E}" uniqueName="22" name="Número Factura" queryTableFieldId="6" dataDxfId="18"/>
    <tableColumn id="23" xr3:uid="{E48CB1D6-42A2-4CA3-9152-7900011DFEE0}" uniqueName="23" name="Proveedor" queryTableFieldId="7" dataDxfId="42"/>
    <tableColumn id="24" xr3:uid="{45D3C67A-9806-4052-A9E2-A5754273C950}" uniqueName="24" name="Id Fiscal Proveedor" queryTableFieldId="8" dataDxfId="41"/>
    <tableColumn id="25" xr3:uid="{C97BC093-2537-4045-B086-ACAE73EC65BC}" uniqueName="25" name="Concepto" queryTableFieldId="9" dataDxfId="40"/>
    <tableColumn id="26" xr3:uid="{EA1B7462-DCB9-48E3-87C2-BBFA98949159}" uniqueName="26" name="Centro de Costo" queryTableFieldId="10" dataDxfId="13"/>
    <tableColumn id="27" xr3:uid="{409916D2-240F-4444-95FF-CBC157D7CE14}" uniqueName="27" name="Subtotal" queryTableFieldId="11" dataDxfId="11"/>
    <tableColumn id="28" xr3:uid="{4BD69008-6E7E-4235-B7F9-289DED152A31}" uniqueName="28" name="IVA" queryTableFieldId="12" dataDxfId="9"/>
    <tableColumn id="29" xr3:uid="{7DEBABE0-34AD-4353-936E-3C9E62037371}" uniqueName="29" name="Total" queryTableFieldId="13" dataDxfId="7"/>
    <tableColumn id="30" xr3:uid="{A8D22864-2469-4AD9-A834-C7FEBBF20696}" uniqueName="30" name="Moneda" queryTableFieldId="14" dataDxfId="8"/>
    <tableColumn id="31" xr3:uid="{A22AB212-0F9F-4B47-86A7-E864DD0997E8}" uniqueName="31" name="Folio Fiscal" queryTableFieldId="15" dataDxfId="39"/>
    <tableColumn id="32" xr3:uid="{6E46226F-B7B0-439E-BAB7-88C2FAE66F92}" uniqueName="32" name="Archivo" queryTableFieldId="16" dataDxfId="3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B80A93-02AB-4DA5-8FB6-ADCC433836B0}" name="tblControlOperam" displayName="tblControlOperam" ref="A1:E2" totalsRowShown="0">
  <autoFilter ref="A1:E2" xr:uid="{A4B80A93-02AB-4DA5-8FB6-ADCC433836B0}"/>
  <tableColumns count="5">
    <tableColumn id="1" xr3:uid="{0A840622-2ECC-4A4D-9A67-A8EAC8D4AA4C}" name="ID Legalización"/>
    <tableColumn id="2" xr3:uid="{4697489A-FD71-4818-B24A-D7175DD47908}" name="Fecha Carga" dataDxfId="62">
      <calculatedColumnFormula>TODAY()-25</calculatedColumnFormula>
    </tableColumn>
    <tableColumn id="3" xr3:uid="{BAF9E431-728A-4EE4-8251-56643EA1C79C}" name="Cargado Por"/>
    <tableColumn id="4" xr3:uid="{5ED40CFA-9D50-4B94-907F-5F4223545245}" name="Referencia Operam"/>
    <tableColumn id="5" xr3:uid="{9AE25D89-0F34-4772-BBDC-AB6B1A6B4787}" name="Observaciones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0747D30-860C-4A03-BF6D-1118741EF989}" name="tblGastosConsolidados" displayName="tblGastosConsolidados" ref="A1:N10" tableType="queryTable" totalsRowShown="0">
  <autoFilter ref="A1:N10" xr:uid="{C0747D30-860C-4A03-BF6D-1118741EF989}"/>
  <tableColumns count="14">
    <tableColumn id="15" xr3:uid="{17896FE6-850B-4B08-BC05-5F30A40D8119}" uniqueName="15" name="ID Legalización" queryTableFieldId="1" dataDxfId="50"/>
    <tableColumn id="16" xr3:uid="{CEFDD678-C06F-456A-9085-AE9D93D6020E}" uniqueName="16" name="Archivo" queryTableFieldId="2" dataDxfId="16"/>
    <tableColumn id="17" xr3:uid="{EBAB6F1B-C745-4356-9069-54095799896C}" uniqueName="17" name="Fecha" queryTableFieldId="3" dataDxfId="14"/>
    <tableColumn id="18" xr3:uid="{981D3B8A-B647-4418-A54A-C35AE7962A62}" uniqueName="18" name="Número Factura" queryTableFieldId="4" dataDxfId="15"/>
    <tableColumn id="19" xr3:uid="{3B5FF758-1383-4F88-9F8E-65DA56C12AF1}" uniqueName="19" name="Proveedor" queryTableFieldId="5" dataDxfId="49"/>
    <tableColumn id="20" xr3:uid="{D6453F32-FCA6-4D05-BC20-23F6BC58D45E}" uniqueName="20" name="Id Fiscal Proveedor" queryTableFieldId="6" dataDxfId="48"/>
    <tableColumn id="21" xr3:uid="{AE311824-1E0B-41E8-9F1D-0A15CF409817}" uniqueName="21" name="Concepto" queryTableFieldId="7" dataDxfId="47"/>
    <tableColumn id="22" xr3:uid="{5FB9B15E-4A16-424F-B0C6-19838A343124}" uniqueName="22" name="Centro de Costo" queryTableFieldId="8" dataDxfId="12"/>
    <tableColumn id="23" xr3:uid="{3F0EA3AC-77EB-492B-918C-95556CA5F532}" uniqueName="23" name="Subtotal" queryTableFieldId="9" dataDxfId="10"/>
    <tableColumn id="24" xr3:uid="{FD5BE525-9C65-4742-B353-C0614A6C2D0F}" uniqueName="24" name="IVA" queryTableFieldId="10" dataDxfId="6"/>
    <tableColumn id="25" xr3:uid="{ED85A4A2-9B7A-4129-8E0C-2E124BD6AD21}" uniqueName="25" name="Total" queryTableFieldId="11" dataDxfId="4"/>
    <tableColumn id="26" xr3:uid="{5DCDC920-5E56-4726-84D2-A2F56D541725}" uniqueName="26" name="Moneda" queryTableFieldId="12" dataDxfId="5"/>
    <tableColumn id="27" xr3:uid="{9BF75DF7-1FA8-4663-B4CF-105F9ECAAB8C}" uniqueName="27" name="Folio Fiscal" queryTableFieldId="13" dataDxfId="3"/>
    <tableColumn id="28" xr3:uid="{5520ADA9-98B0-4FE1-A7D7-E3E34592458A}" uniqueName="28" name="Diferencia" queryTableFieldId="14" dataDxfId="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0DD0D7F-6240-4382-B8B4-C954E22DF719}" name="tblSoportes" displayName="tblSoportes" ref="A1:H15" tableType="queryTable" totalsRowShown="0">
  <autoFilter ref="A1:H15" xr:uid="{B0DD0D7F-6240-4382-B8B4-C954E22DF719}"/>
  <tableColumns count="8">
    <tableColumn id="9" xr3:uid="{E3A8D194-A2ED-43A9-84F4-4462A70ECA25}" uniqueName="9" name="ID Legalización" queryTableFieldId="1" dataDxfId="56"/>
    <tableColumn id="10" xr3:uid="{198C4F5F-E92E-4879-95D8-FFCC2EFFD51B}" uniqueName="10" name="Nombre Archivo" queryTableFieldId="2" dataDxfId="55"/>
    <tableColumn id="11" xr3:uid="{D4C85CA4-796C-4FC8-A427-B2ABF198ED80}" uniqueName="11" name="Nombre Guardado" queryTableFieldId="3" dataDxfId="54"/>
    <tableColumn id="12" xr3:uid="{9C157998-946B-406C-BAE8-9B5BE626E4F4}" uniqueName="12" name="Tipo" queryTableFieldId="4" dataDxfId="53"/>
    <tableColumn id="13" xr3:uid="{134DB9C9-3F64-4519-A4E3-BE491327D497}" uniqueName="13" name="Carpeta Estado" queryTableFieldId="5" dataDxfId="52"/>
    <tableColumn id="14" xr3:uid="{48562933-6A81-445C-B67F-2697FC9A89D7}" uniqueName="14" name="Extensión" queryTableFieldId="6" dataDxfId="51"/>
    <tableColumn id="15" xr3:uid="{924638FD-C1D5-48E0-8C9E-445C118B674D}" uniqueName="15" name="Ruta" queryTableFieldId="7" dataDxfId="1"/>
    <tableColumn id="16" xr3:uid="{F389546D-015D-44E8-8A97-41A16625FAAF}" uniqueName="16" name="Fecha Creación" queryTableFieldId="8" dataDxfId="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200BF7E-96E5-4B7C-B78A-26CD1412CD04}" name="tblErroresLectura" displayName="tblErroresLectura" ref="A1:D2" tableType="queryTable" totalsRowShown="0">
  <autoFilter ref="A1:D2" xr:uid="{9200BF7E-96E5-4B7C-B78A-26CD1412CD04}"/>
  <tableColumns count="4">
    <tableColumn id="5" xr3:uid="{2C1775AE-1562-4B7A-80FF-A0BA625EBC6E}" uniqueName="5" name="ID Legalización" queryTableFieldId="1" dataDxfId="46"/>
    <tableColumn id="6" xr3:uid="{F46AE2EB-C3C8-4DBA-BCEF-14C7070E1D98}" uniqueName="6" name="Archivo" queryTableFieldId="2" dataDxfId="45"/>
    <tableColumn id="7" xr3:uid="{4AA9D038-D795-435E-B564-E426CA7F6057}" uniqueName="7" name="Ruta" queryTableFieldId="3" dataDxfId="44"/>
    <tableColumn id="8" xr3:uid="{23319211-CCA4-4DAE-93F5-0A608677D0B5}" uniqueName="8" name="Error" queryTableFieldId="4" dataDxfId="4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C7BAA-F586-4153-9FFF-50348D56CC5C}">
  <dimension ref="A1:A20"/>
  <sheetViews>
    <sheetView tabSelected="1" workbookViewId="0"/>
  </sheetViews>
  <sheetFormatPr baseColWidth="10" defaultRowHeight="14.4" x14ac:dyDescent="0.3"/>
  <cols>
    <col min="1" max="1" width="120.77734375" customWidth="1"/>
  </cols>
  <sheetData>
    <row r="1" spans="1:1" ht="21" x14ac:dyDescent="0.4">
      <c r="A1" s="5" t="s">
        <v>196</v>
      </c>
    </row>
    <row r="2" spans="1:1" x14ac:dyDescent="0.3">
      <c r="A2" t="s">
        <v>197</v>
      </c>
    </row>
    <row r="4" spans="1:1" x14ac:dyDescent="0.3">
      <c r="A4" s="6" t="s">
        <v>198</v>
      </c>
    </row>
    <row r="5" spans="1:1" x14ac:dyDescent="0.3">
      <c r="A5" t="s">
        <v>199</v>
      </c>
    </row>
    <row r="6" spans="1:1" x14ac:dyDescent="0.3">
      <c r="A6" t="s">
        <v>200</v>
      </c>
    </row>
    <row r="7" spans="1:1" x14ac:dyDescent="0.3">
      <c r="A7" t="s">
        <v>201</v>
      </c>
    </row>
    <row r="8" spans="1:1" x14ac:dyDescent="0.3">
      <c r="A8" t="s">
        <v>202</v>
      </c>
    </row>
    <row r="9" spans="1:1" x14ac:dyDescent="0.3">
      <c r="A9" t="s">
        <v>203</v>
      </c>
    </row>
    <row r="11" spans="1:1" x14ac:dyDescent="0.3">
      <c r="A11" s="6" t="s">
        <v>204</v>
      </c>
    </row>
    <row r="12" spans="1:1" x14ac:dyDescent="0.3">
      <c r="A12" t="s">
        <v>205</v>
      </c>
    </row>
    <row r="13" spans="1:1" x14ac:dyDescent="0.3">
      <c r="A13" t="s">
        <v>206</v>
      </c>
    </row>
    <row r="14" spans="1:1" x14ac:dyDescent="0.3">
      <c r="A14" t="s">
        <v>207</v>
      </c>
    </row>
    <row r="16" spans="1:1" x14ac:dyDescent="0.3">
      <c r="A16" s="6" t="s">
        <v>208</v>
      </c>
    </row>
    <row r="17" spans="1:1" x14ac:dyDescent="0.3">
      <c r="A17" t="s">
        <v>209</v>
      </c>
    </row>
    <row r="18" spans="1:1" x14ac:dyDescent="0.3">
      <c r="A18" t="s">
        <v>210</v>
      </c>
    </row>
    <row r="19" spans="1:1" x14ac:dyDescent="0.3">
      <c r="A19" t="s">
        <v>211</v>
      </c>
    </row>
    <row r="20" spans="1:1" x14ac:dyDescent="0.3">
      <c r="A20" t="s">
        <v>212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DE39F-7FBE-4E08-9ECB-724EFF1282B5}">
  <dimension ref="A1:F10"/>
  <sheetViews>
    <sheetView workbookViewId="0"/>
  </sheetViews>
  <sheetFormatPr baseColWidth="10" defaultRowHeight="14.4" x14ac:dyDescent="0.3"/>
  <cols>
    <col min="1" max="1" width="40.77734375" customWidth="1"/>
  </cols>
  <sheetData>
    <row r="1" spans="1:6" ht="21" x14ac:dyDescent="0.4">
      <c r="A1" s="5" t="s">
        <v>190</v>
      </c>
    </row>
    <row r="3" spans="1:6" x14ac:dyDescent="0.3">
      <c r="A3" t="s">
        <v>191</v>
      </c>
      <c r="B3" s="6">
        <f>COUNTA(tblRegistro[ID Legalización])</f>
        <v>7</v>
      </c>
    </row>
    <row r="4" spans="1:6" x14ac:dyDescent="0.3">
      <c r="A4" t="s">
        <v>192</v>
      </c>
      <c r="B4" s="6">
        <f>SUM(COUNTIFS(tblRegistro[Estado],{"Pendiente","En revisión"}))</f>
        <v>3</v>
      </c>
    </row>
    <row r="5" spans="1:6" x14ac:dyDescent="0.3">
      <c r="A5" t="s">
        <v>193</v>
      </c>
      <c r="B5" s="6">
        <f>COUNTA(tblConsolidadoOperam[ID Legalización])</f>
        <v>3</v>
      </c>
    </row>
    <row r="6" spans="1:6" x14ac:dyDescent="0.3">
      <c r="A6" t="s">
        <v>194</v>
      </c>
      <c r="B6" s="6">
        <f>COUNTA(tblAlertas[Alerta])</f>
        <v>7</v>
      </c>
    </row>
    <row r="7" spans="1:6" x14ac:dyDescent="0.3">
      <c r="A7" s="6" t="s">
        <v>195</v>
      </c>
    </row>
    <row r="8" spans="1:6" x14ac:dyDescent="0.3">
      <c r="A8" t="s">
        <v>22</v>
      </c>
      <c r="B8" t="s">
        <v>1</v>
      </c>
      <c r="C8" t="s">
        <v>2</v>
      </c>
      <c r="D8" t="s">
        <v>3</v>
      </c>
      <c r="E8" t="s">
        <v>4</v>
      </c>
      <c r="F8" t="s">
        <v>131</v>
      </c>
    </row>
    <row r="9" spans="1:6" x14ac:dyDescent="0.3">
      <c r="A9" s="2" t="s">
        <v>32</v>
      </c>
      <c r="B9">
        <v>2</v>
      </c>
      <c r="C9">
        <v>1</v>
      </c>
      <c r="D9">
        <v>1</v>
      </c>
      <c r="E9">
        <v>2</v>
      </c>
      <c r="F9">
        <v>6</v>
      </c>
    </row>
    <row r="10" spans="1:6" x14ac:dyDescent="0.3">
      <c r="A10" s="2" t="s">
        <v>68</v>
      </c>
      <c r="B10">
        <v>0</v>
      </c>
      <c r="C10">
        <v>0</v>
      </c>
      <c r="D10">
        <v>0</v>
      </c>
      <c r="E10">
        <v>1</v>
      </c>
      <c r="F10">
        <v>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B52F7-9B23-47F0-BE0D-90B056A05D98}">
  <dimension ref="A1:M8"/>
  <sheetViews>
    <sheetView workbookViewId="0">
      <pane ySplit="1" topLeftCell="A2" activePane="bottomLeft" state="frozenSplit"/>
      <selection pane="bottomLeft"/>
    </sheetView>
  </sheetViews>
  <sheetFormatPr baseColWidth="10" defaultRowHeight="14.4" x14ac:dyDescent="0.3"/>
  <cols>
    <col min="1" max="1" width="16.6640625" bestFit="1" customWidth="1"/>
    <col min="2" max="2" width="17.33203125" bestFit="1" customWidth="1"/>
    <col min="3" max="3" width="18.44140625" bestFit="1" customWidth="1"/>
    <col min="4" max="4" width="24.44140625" bestFit="1" customWidth="1"/>
    <col min="5" max="5" width="35.88671875" bestFit="1" customWidth="1"/>
    <col min="6" max="6" width="40.5546875" bestFit="1" customWidth="1"/>
    <col min="7" max="7" width="9.88671875" bestFit="1" customWidth="1"/>
    <col min="8" max="8" width="55.77734375" customWidth="1"/>
    <col min="9" max="9" width="15.21875" bestFit="1" customWidth="1"/>
    <col min="10" max="10" width="15.6640625" bestFit="1" customWidth="1"/>
    <col min="11" max="11" width="13.33203125" bestFit="1" customWidth="1"/>
    <col min="12" max="12" width="18.44140625" bestFit="1" customWidth="1"/>
    <col min="13" max="13" width="55.77734375" customWidth="1"/>
  </cols>
  <sheetData>
    <row r="1" spans="1:13" x14ac:dyDescent="0.3">
      <c r="A1" t="s">
        <v>6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10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</row>
    <row r="2" spans="1:13" x14ac:dyDescent="0.3">
      <c r="A2" s="2" t="s">
        <v>26</v>
      </c>
      <c r="B2" s="3">
        <v>46292.642077094904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1</v>
      </c>
      <c r="H2" s="2" t="s">
        <v>31</v>
      </c>
      <c r="I2" s="3"/>
      <c r="J2" s="2" t="s">
        <v>32</v>
      </c>
      <c r="K2">
        <v>1</v>
      </c>
      <c r="L2" t="b">
        <v>1</v>
      </c>
      <c r="M2" s="2" t="s">
        <v>33</v>
      </c>
    </row>
    <row r="3" spans="1:13" x14ac:dyDescent="0.3">
      <c r="A3" s="2" t="s">
        <v>34</v>
      </c>
      <c r="B3" s="3">
        <v>46290.558743761576</v>
      </c>
      <c r="C3" s="2" t="s">
        <v>35</v>
      </c>
      <c r="D3" s="2" t="s">
        <v>36</v>
      </c>
      <c r="E3" s="2" t="s">
        <v>37</v>
      </c>
      <c r="F3" s="2" t="s">
        <v>38</v>
      </c>
      <c r="G3" s="2" t="s">
        <v>4</v>
      </c>
      <c r="H3" s="2"/>
      <c r="I3" s="3"/>
      <c r="J3" s="2" t="s">
        <v>32</v>
      </c>
      <c r="L3" t="b">
        <v>0</v>
      </c>
      <c r="M3" s="2" t="s">
        <v>39</v>
      </c>
    </row>
    <row r="4" spans="1:13" x14ac:dyDescent="0.3">
      <c r="A4" s="2" t="s">
        <v>40</v>
      </c>
      <c r="B4" s="3">
        <v>46289.72541042824</v>
      </c>
      <c r="C4" s="2" t="s">
        <v>41</v>
      </c>
      <c r="D4" s="2" t="s">
        <v>42</v>
      </c>
      <c r="E4" s="2" t="s">
        <v>43</v>
      </c>
      <c r="F4" s="2" t="s">
        <v>44</v>
      </c>
      <c r="G4" s="2" t="s">
        <v>3</v>
      </c>
      <c r="H4" s="2" t="s">
        <v>45</v>
      </c>
      <c r="I4" s="3">
        <v>46292.808743761576</v>
      </c>
      <c r="J4" s="2" t="s">
        <v>32</v>
      </c>
      <c r="L4" t="b">
        <v>0</v>
      </c>
      <c r="M4" s="2" t="s">
        <v>46</v>
      </c>
    </row>
    <row r="5" spans="1:13" x14ac:dyDescent="0.3">
      <c r="A5" s="2" t="s">
        <v>47</v>
      </c>
      <c r="B5" s="3">
        <v>46287.767077094904</v>
      </c>
      <c r="C5" s="2" t="s">
        <v>48</v>
      </c>
      <c r="D5" s="2" t="s">
        <v>49</v>
      </c>
      <c r="E5" s="2" t="s">
        <v>50</v>
      </c>
      <c r="F5" s="2" t="s">
        <v>51</v>
      </c>
      <c r="G5" s="2" t="s">
        <v>1</v>
      </c>
      <c r="H5" s="2" t="s">
        <v>52</v>
      </c>
      <c r="I5" s="3"/>
      <c r="J5" s="2" t="s">
        <v>32</v>
      </c>
      <c r="K5">
        <v>6</v>
      </c>
      <c r="L5" t="b">
        <v>0</v>
      </c>
      <c r="M5" s="2" t="s">
        <v>53</v>
      </c>
    </row>
    <row r="6" spans="1:13" x14ac:dyDescent="0.3">
      <c r="A6" s="2" t="s">
        <v>54</v>
      </c>
      <c r="B6" s="3">
        <v>46286.60041042824</v>
      </c>
      <c r="C6" s="2" t="s">
        <v>55</v>
      </c>
      <c r="D6" s="2" t="s">
        <v>56</v>
      </c>
      <c r="E6" s="2" t="s">
        <v>57</v>
      </c>
      <c r="F6" s="2" t="s">
        <v>58</v>
      </c>
      <c r="G6" s="2" t="s">
        <v>2</v>
      </c>
      <c r="H6" s="2"/>
      <c r="I6" s="3"/>
      <c r="J6" s="2" t="s">
        <v>32</v>
      </c>
      <c r="K6">
        <v>7</v>
      </c>
      <c r="L6" t="b">
        <v>0</v>
      </c>
      <c r="M6" s="2" t="s">
        <v>59</v>
      </c>
    </row>
    <row r="7" spans="1:13" x14ac:dyDescent="0.3">
      <c r="A7" s="2" t="s">
        <v>60</v>
      </c>
      <c r="B7" s="3">
        <v>46284.683743761576</v>
      </c>
      <c r="C7" s="2" t="s">
        <v>27</v>
      </c>
      <c r="D7" s="2" t="s">
        <v>28</v>
      </c>
      <c r="E7" s="2" t="s">
        <v>61</v>
      </c>
      <c r="F7" s="2" t="s">
        <v>62</v>
      </c>
      <c r="G7" s="2" t="s">
        <v>4</v>
      </c>
      <c r="H7" s="2"/>
      <c r="I7" s="3">
        <v>46291.808743761576</v>
      </c>
      <c r="J7" s="2" t="s">
        <v>32</v>
      </c>
      <c r="L7" t="b">
        <v>0</v>
      </c>
      <c r="M7" s="2" t="s">
        <v>63</v>
      </c>
    </row>
    <row r="8" spans="1:13" x14ac:dyDescent="0.3">
      <c r="A8" s="2" t="s">
        <v>11</v>
      </c>
      <c r="B8" s="3">
        <v>46258.72541042824</v>
      </c>
      <c r="C8" s="2" t="s">
        <v>64</v>
      </c>
      <c r="D8" s="2" t="s">
        <v>65</v>
      </c>
      <c r="E8" s="2" t="s">
        <v>66</v>
      </c>
      <c r="F8" s="2" t="s">
        <v>67</v>
      </c>
      <c r="G8" s="2" t="s">
        <v>4</v>
      </c>
      <c r="H8" s="2"/>
      <c r="I8" s="3">
        <v>46263.808743761576</v>
      </c>
      <c r="J8" s="2" t="s">
        <v>68</v>
      </c>
      <c r="L8" t="b">
        <v>0</v>
      </c>
      <c r="M8" s="2" t="s">
        <v>69</v>
      </c>
    </row>
  </sheetData>
  <phoneticPr fontId="2" type="noConversion"/>
  <conditionalFormatting sqref="G2:G8">
    <cfRule type="cellIs" dxfId="26" priority="1" stopIfTrue="1" operator="equal">
      <formula>"Pendiente"</formula>
    </cfRule>
    <cfRule type="cellIs" dxfId="25" priority="2" stopIfTrue="1" operator="equal">
      <formula>"En revisión"</formula>
    </cfRule>
    <cfRule type="cellIs" dxfId="24" priority="3" stopIfTrue="1" operator="equal">
      <formula>"Rechazada"</formula>
    </cfRule>
    <cfRule type="cellIs" dxfId="23" priority="4" stopIfTrue="1" operator="equal">
      <formula>"Aprobada"</formula>
    </cfRule>
  </conditionalFormatting>
  <dataValidations count="1">
    <dataValidation type="list" allowBlank="1" showInputMessage="1" showErrorMessage="1" error="Use uno de los estados de la lista." promptTitle="Estado" prompt="El estado oficial se cambia en SharePoint; esta tabla se sobrescribe al actualizar." sqref="G2:G8" xr:uid="{021DE76A-A28B-4A82-A788-8824C7764389}">
      <formula1>lstEstados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408F5-CA7C-442A-A9D1-2926BA9CEC2F}">
  <dimension ref="A1:D8"/>
  <sheetViews>
    <sheetView workbookViewId="0">
      <pane ySplit="1" topLeftCell="A2" activePane="bottomLeft" state="frozenSplit"/>
      <selection pane="bottomLeft"/>
    </sheetView>
  </sheetViews>
  <sheetFormatPr baseColWidth="10" defaultRowHeight="14.4" x14ac:dyDescent="0.3"/>
  <cols>
    <col min="1" max="1" width="28.44140625" bestFit="1" customWidth="1"/>
    <col min="2" max="2" width="16.6640625" bestFit="1" customWidth="1"/>
    <col min="3" max="3" width="18.44140625" bestFit="1" customWidth="1"/>
    <col min="4" max="4" width="55.77734375" customWidth="1"/>
  </cols>
  <sheetData>
    <row r="1" spans="1:4" x14ac:dyDescent="0.3">
      <c r="A1" t="s">
        <v>176</v>
      </c>
      <c r="B1" t="s">
        <v>6</v>
      </c>
      <c r="C1" t="s">
        <v>16</v>
      </c>
      <c r="D1" t="s">
        <v>177</v>
      </c>
    </row>
    <row r="2" spans="1:4" x14ac:dyDescent="0.3">
      <c r="A2" s="2" t="s">
        <v>178</v>
      </c>
      <c r="B2" s="2" t="s">
        <v>47</v>
      </c>
      <c r="C2" s="2" t="s">
        <v>48</v>
      </c>
      <c r="D2" s="2" t="s">
        <v>179</v>
      </c>
    </row>
    <row r="3" spans="1:4" x14ac:dyDescent="0.3">
      <c r="A3" s="2" t="s">
        <v>178</v>
      </c>
      <c r="B3" s="2" t="s">
        <v>54</v>
      </c>
      <c r="C3" s="2" t="s">
        <v>55</v>
      </c>
      <c r="D3" s="2" t="s">
        <v>180</v>
      </c>
    </row>
    <row r="4" spans="1:4" x14ac:dyDescent="0.3">
      <c r="A4" s="2" t="s">
        <v>181</v>
      </c>
      <c r="B4" s="2" t="s">
        <v>26</v>
      </c>
      <c r="C4" s="2" t="s">
        <v>27</v>
      </c>
      <c r="D4" s="2" t="s">
        <v>31</v>
      </c>
    </row>
    <row r="5" spans="1:4" x14ac:dyDescent="0.3">
      <c r="A5" s="2" t="s">
        <v>182</v>
      </c>
      <c r="B5" s="2" t="s">
        <v>34</v>
      </c>
      <c r="C5" s="2" t="s">
        <v>35</v>
      </c>
      <c r="D5" s="2" t="s">
        <v>183</v>
      </c>
    </row>
    <row r="6" spans="1:4" x14ac:dyDescent="0.3">
      <c r="A6" s="2" t="s">
        <v>184</v>
      </c>
      <c r="B6" s="2" t="s">
        <v>34</v>
      </c>
      <c r="C6" s="2" t="s">
        <v>35</v>
      </c>
      <c r="D6" s="2" t="s">
        <v>185</v>
      </c>
    </row>
    <row r="7" spans="1:4" x14ac:dyDescent="0.3">
      <c r="A7" s="2" t="s">
        <v>186</v>
      </c>
      <c r="B7" s="2" t="s">
        <v>34</v>
      </c>
      <c r="C7" s="2" t="s">
        <v>35</v>
      </c>
      <c r="D7" s="2" t="s">
        <v>187</v>
      </c>
    </row>
    <row r="8" spans="1:4" x14ac:dyDescent="0.3">
      <c r="A8" s="2" t="s">
        <v>188</v>
      </c>
      <c r="B8" s="2" t="s">
        <v>54</v>
      </c>
      <c r="C8" s="2" t="s">
        <v>55</v>
      </c>
      <c r="D8" s="2" t="s">
        <v>189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B053A-A089-49F8-AC0A-5B25FEE735ED}">
  <dimension ref="A1:P4"/>
  <sheetViews>
    <sheetView workbookViewId="0">
      <pane ySplit="1" topLeftCell="A2" activePane="bottomLeft" state="frozenSplit"/>
      <selection pane="bottomLeft"/>
    </sheetView>
  </sheetViews>
  <sheetFormatPr baseColWidth="10" defaultRowHeight="14.4" x14ac:dyDescent="0.3"/>
  <cols>
    <col min="1" max="1" width="16.6640625" bestFit="1" customWidth="1"/>
    <col min="2" max="2" width="15.21875" bestFit="1" customWidth="1"/>
    <col min="3" max="3" width="15.44140625" bestFit="1" customWidth="1"/>
    <col min="4" max="4" width="21.44140625" bestFit="1" customWidth="1"/>
    <col min="5" max="5" width="10.33203125" bestFit="1" customWidth="1"/>
    <col min="6" max="6" width="16.5546875" bestFit="1" customWidth="1"/>
    <col min="7" max="7" width="18.6640625" bestFit="1" customWidth="1"/>
    <col min="8" max="8" width="19.109375" bestFit="1" customWidth="1"/>
    <col min="9" max="9" width="27" bestFit="1" customWidth="1"/>
    <col min="10" max="10" width="16.33203125" bestFit="1" customWidth="1"/>
    <col min="11" max="11" width="10.33203125" bestFit="1" customWidth="1"/>
    <col min="12" max="12" width="7.5546875" bestFit="1" customWidth="1"/>
    <col min="13" max="13" width="8.5546875" bestFit="1" customWidth="1"/>
    <col min="14" max="14" width="9.77734375" bestFit="1" customWidth="1"/>
    <col min="15" max="15" width="36.88671875" bestFit="1" customWidth="1"/>
    <col min="16" max="16" width="29.88671875" bestFit="1" customWidth="1"/>
  </cols>
  <sheetData>
    <row r="1" spans="1:16" x14ac:dyDescent="0.3">
      <c r="A1" t="s">
        <v>6</v>
      </c>
      <c r="B1" t="s">
        <v>21</v>
      </c>
      <c r="C1" t="s">
        <v>16</v>
      </c>
      <c r="D1" t="s">
        <v>17</v>
      </c>
      <c r="E1" t="s">
        <v>123</v>
      </c>
      <c r="F1" t="s">
        <v>124</v>
      </c>
      <c r="G1" t="s">
        <v>125</v>
      </c>
      <c r="H1" t="s">
        <v>126</v>
      </c>
      <c r="I1" t="s">
        <v>127</v>
      </c>
      <c r="J1" t="s">
        <v>128</v>
      </c>
      <c r="K1" t="s">
        <v>129</v>
      </c>
      <c r="L1" t="s">
        <v>130</v>
      </c>
      <c r="M1" t="s">
        <v>131</v>
      </c>
      <c r="N1" t="s">
        <v>132</v>
      </c>
      <c r="O1" t="s">
        <v>133</v>
      </c>
      <c r="P1" t="s">
        <v>122</v>
      </c>
    </row>
    <row r="2" spans="1:16" x14ac:dyDescent="0.3">
      <c r="A2" s="2" t="s">
        <v>60</v>
      </c>
      <c r="B2" s="3">
        <v>46291.808818773148</v>
      </c>
      <c r="C2" s="2" t="s">
        <v>27</v>
      </c>
      <c r="D2" s="2" t="s">
        <v>28</v>
      </c>
      <c r="E2" s="1">
        <v>46281</v>
      </c>
      <c r="F2" s="2" t="s">
        <v>146</v>
      </c>
      <c r="G2" s="2" t="s">
        <v>147</v>
      </c>
      <c r="H2" s="2" t="s">
        <v>148</v>
      </c>
      <c r="I2" s="2" t="s">
        <v>149</v>
      </c>
      <c r="J2" s="2" t="s">
        <v>150</v>
      </c>
      <c r="K2" s="4">
        <v>1000</v>
      </c>
      <c r="L2" s="4">
        <v>160</v>
      </c>
      <c r="M2" s="4">
        <v>1160</v>
      </c>
      <c r="N2" s="2" t="s">
        <v>140</v>
      </c>
      <c r="O2" s="2" t="s">
        <v>151</v>
      </c>
      <c r="P2" s="2" t="s">
        <v>114</v>
      </c>
    </row>
    <row r="3" spans="1:16" x14ac:dyDescent="0.3">
      <c r="A3" s="2" t="s">
        <v>60</v>
      </c>
      <c r="B3" s="3">
        <v>46291.808818773148</v>
      </c>
      <c r="C3" s="2" t="s">
        <v>27</v>
      </c>
      <c r="D3" s="2" t="s">
        <v>28</v>
      </c>
      <c r="E3" s="1">
        <v>46282</v>
      </c>
      <c r="F3" s="2" t="s">
        <v>152</v>
      </c>
      <c r="G3" s="2" t="s">
        <v>153</v>
      </c>
      <c r="H3" s="2" t="s">
        <v>154</v>
      </c>
      <c r="I3" s="2" t="s">
        <v>155</v>
      </c>
      <c r="J3" s="2" t="s">
        <v>156</v>
      </c>
      <c r="K3" s="4">
        <v>800</v>
      </c>
      <c r="L3" s="4">
        <v>128</v>
      </c>
      <c r="M3" s="4">
        <v>928</v>
      </c>
      <c r="N3" s="2" t="s">
        <v>140</v>
      </c>
      <c r="O3" s="2"/>
      <c r="P3" s="2" t="s">
        <v>114</v>
      </c>
    </row>
    <row r="4" spans="1:16" x14ac:dyDescent="0.3">
      <c r="A4" s="2" t="s">
        <v>60</v>
      </c>
      <c r="B4" s="3">
        <v>46291.808818773148</v>
      </c>
      <c r="C4" s="2" t="s">
        <v>27</v>
      </c>
      <c r="D4" s="2" t="s">
        <v>28</v>
      </c>
      <c r="E4" s="1">
        <v>46283</v>
      </c>
      <c r="F4" s="2" t="s">
        <v>157</v>
      </c>
      <c r="G4" s="2" t="s">
        <v>158</v>
      </c>
      <c r="H4" s="2" t="s">
        <v>159</v>
      </c>
      <c r="I4" s="2" t="s">
        <v>160</v>
      </c>
      <c r="J4" s="2" t="s">
        <v>161</v>
      </c>
      <c r="K4" s="4">
        <v>1200</v>
      </c>
      <c r="L4" s="4">
        <v>192</v>
      </c>
      <c r="M4" s="4">
        <v>1392</v>
      </c>
      <c r="N4" s="2" t="s">
        <v>140</v>
      </c>
      <c r="O4" s="2"/>
      <c r="P4" s="2" t="s">
        <v>114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7400A-3676-446E-89B0-7806E1BA6DCB}">
  <dimension ref="A1:E2"/>
  <sheetViews>
    <sheetView workbookViewId="0">
      <pane ySplit="1" topLeftCell="A2" activePane="bottomLeft" state="frozenSplit"/>
      <selection pane="bottomLeft"/>
    </sheetView>
  </sheetViews>
  <sheetFormatPr baseColWidth="10" defaultRowHeight="14.4" x14ac:dyDescent="0.3"/>
  <cols>
    <col min="1" max="1" width="16.6640625" bestFit="1" customWidth="1"/>
    <col min="2" max="2" width="13.33203125" bestFit="1" customWidth="1"/>
    <col min="3" max="3" width="17.6640625" bestFit="1" customWidth="1"/>
    <col min="4" max="4" width="19.33203125" bestFit="1" customWidth="1"/>
    <col min="5" max="5" width="52.5546875" bestFit="1" customWidth="1"/>
  </cols>
  <sheetData>
    <row r="1" spans="1:5" x14ac:dyDescent="0.3">
      <c r="A1" t="s">
        <v>6</v>
      </c>
      <c r="B1" t="s">
        <v>7</v>
      </c>
      <c r="C1" t="s">
        <v>8</v>
      </c>
      <c r="D1" t="s">
        <v>9</v>
      </c>
      <c r="E1" t="s">
        <v>10</v>
      </c>
    </row>
    <row r="2" spans="1:5" x14ac:dyDescent="0.3">
      <c r="A2" t="s">
        <v>11</v>
      </c>
      <c r="B2" s="1">
        <f ca="1">TODAY()-25</f>
        <v>46268</v>
      </c>
      <c r="C2" t="s">
        <v>12</v>
      </c>
      <c r="D2" t="s">
        <v>13</v>
      </c>
      <c r="E2" t="s">
        <v>14</v>
      </c>
    </row>
  </sheetData>
  <dataValidations count="2">
    <dataValidation type="date" operator="greaterThanOrEqual" allowBlank="1" showInputMessage="1" showErrorMessage="1" error="Escriba la fecha en que se cargó el caso en Operam." sqref="B2" xr:uid="{8AFD5A2B-377E-4830-9720-D42318EB2F27}">
      <formula1>fechaMinimaCarga</formula1>
    </dataValidation>
    <dataValidation type="list" allowBlank="1" showInputMessage="1" showErrorMessage="1" errorTitle="ID no encontrado" error="Escriba un ID Legalización que exista en la hoja Registro." sqref="A2" xr:uid="{FDCAC6F3-8665-444F-8445-D5C6F09ADF0D}">
      <formula1>lstIdsRegistro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FBCA4-D424-4C14-90C4-9998A5F80DC2}">
  <dimension ref="A1:N10"/>
  <sheetViews>
    <sheetView workbookViewId="0">
      <pane ySplit="1" topLeftCell="A2" activePane="bottomLeft" state="frozenSplit"/>
      <selection pane="bottomLeft"/>
    </sheetView>
  </sheetViews>
  <sheetFormatPr baseColWidth="10" defaultRowHeight="14.4" x14ac:dyDescent="0.3"/>
  <cols>
    <col min="1" max="1" width="16.6640625" bestFit="1" customWidth="1"/>
    <col min="2" max="2" width="29.88671875" bestFit="1" customWidth="1"/>
    <col min="3" max="3" width="10.33203125" bestFit="1" customWidth="1"/>
    <col min="4" max="4" width="16.5546875" bestFit="1" customWidth="1"/>
    <col min="5" max="5" width="18.77734375" bestFit="1" customWidth="1"/>
    <col min="6" max="6" width="19.109375" bestFit="1" customWidth="1"/>
    <col min="7" max="7" width="27" bestFit="1" customWidth="1"/>
    <col min="8" max="8" width="16.33203125" bestFit="1" customWidth="1"/>
    <col min="9" max="9" width="10.33203125" bestFit="1" customWidth="1"/>
    <col min="10" max="10" width="7.5546875" bestFit="1" customWidth="1"/>
    <col min="11" max="11" width="8.5546875" bestFit="1" customWidth="1"/>
    <col min="12" max="12" width="9.77734375" bestFit="1" customWidth="1"/>
    <col min="13" max="13" width="36.88671875" bestFit="1" customWidth="1"/>
    <col min="14" max="14" width="11.77734375" bestFit="1" customWidth="1"/>
  </cols>
  <sheetData>
    <row r="1" spans="1:14" x14ac:dyDescent="0.3">
      <c r="A1" t="s">
        <v>6</v>
      </c>
      <c r="B1" t="s">
        <v>122</v>
      </c>
      <c r="C1" t="s">
        <v>123</v>
      </c>
      <c r="D1" t="s">
        <v>124</v>
      </c>
      <c r="E1" t="s">
        <v>125</v>
      </c>
      <c r="F1" t="s">
        <v>126</v>
      </c>
      <c r="G1" t="s">
        <v>127</v>
      </c>
      <c r="H1" t="s">
        <v>128</v>
      </c>
      <c r="I1" t="s">
        <v>129</v>
      </c>
      <c r="J1" t="s">
        <v>130</v>
      </c>
      <c r="K1" t="s">
        <v>131</v>
      </c>
      <c r="L1" t="s">
        <v>132</v>
      </c>
      <c r="M1" t="s">
        <v>133</v>
      </c>
      <c r="N1" t="s">
        <v>134</v>
      </c>
    </row>
    <row r="2" spans="1:14" x14ac:dyDescent="0.3">
      <c r="A2" s="2" t="s">
        <v>11</v>
      </c>
      <c r="B2" s="2" t="s">
        <v>120</v>
      </c>
      <c r="C2" s="1">
        <v>46253</v>
      </c>
      <c r="D2" s="2" t="s">
        <v>135</v>
      </c>
      <c r="E2" s="2" t="s">
        <v>136</v>
      </c>
      <c r="F2" s="2" t="s">
        <v>137</v>
      </c>
      <c r="G2" s="2" t="s">
        <v>138</v>
      </c>
      <c r="H2" s="2" t="s">
        <v>139</v>
      </c>
      <c r="I2" s="4">
        <v>2500</v>
      </c>
      <c r="J2" s="4">
        <v>400</v>
      </c>
      <c r="K2" s="4">
        <v>2900</v>
      </c>
      <c r="L2" s="2" t="s">
        <v>140</v>
      </c>
      <c r="M2" s="2" t="s">
        <v>141</v>
      </c>
      <c r="N2" s="4">
        <v>0</v>
      </c>
    </row>
    <row r="3" spans="1:14" x14ac:dyDescent="0.3">
      <c r="A3" s="2" t="s">
        <v>11</v>
      </c>
      <c r="B3" s="2" t="s">
        <v>120</v>
      </c>
      <c r="C3" s="1">
        <v>46254</v>
      </c>
      <c r="D3" s="2" t="s">
        <v>142</v>
      </c>
      <c r="E3" s="2" t="s">
        <v>143</v>
      </c>
      <c r="F3" s="2" t="s">
        <v>144</v>
      </c>
      <c r="G3" s="2" t="s">
        <v>145</v>
      </c>
      <c r="H3" s="2" t="s">
        <v>139</v>
      </c>
      <c r="I3" s="4">
        <v>350</v>
      </c>
      <c r="J3" s="4">
        <v>56</v>
      </c>
      <c r="K3" s="4">
        <v>406</v>
      </c>
      <c r="L3" s="2" t="s">
        <v>140</v>
      </c>
      <c r="M3" s="2"/>
      <c r="N3" s="4">
        <v>0</v>
      </c>
    </row>
    <row r="4" spans="1:14" x14ac:dyDescent="0.3">
      <c r="A4" s="2" t="s">
        <v>60</v>
      </c>
      <c r="B4" s="2" t="s">
        <v>114</v>
      </c>
      <c r="C4" s="1">
        <v>46281</v>
      </c>
      <c r="D4" s="2" t="s">
        <v>146</v>
      </c>
      <c r="E4" s="2" t="s">
        <v>147</v>
      </c>
      <c r="F4" s="2" t="s">
        <v>148</v>
      </c>
      <c r="G4" s="2" t="s">
        <v>149</v>
      </c>
      <c r="H4" s="2" t="s">
        <v>150</v>
      </c>
      <c r="I4" s="4">
        <v>1000</v>
      </c>
      <c r="J4" s="4">
        <v>160</v>
      </c>
      <c r="K4" s="4">
        <v>1160</v>
      </c>
      <c r="L4" s="2" t="s">
        <v>140</v>
      </c>
      <c r="M4" s="2" t="s">
        <v>151</v>
      </c>
      <c r="N4" s="4">
        <v>0</v>
      </c>
    </row>
    <row r="5" spans="1:14" x14ac:dyDescent="0.3">
      <c r="A5" s="2" t="s">
        <v>60</v>
      </c>
      <c r="B5" s="2" t="s">
        <v>114</v>
      </c>
      <c r="C5" s="1">
        <v>46282</v>
      </c>
      <c r="D5" s="2" t="s">
        <v>152</v>
      </c>
      <c r="E5" s="2" t="s">
        <v>153</v>
      </c>
      <c r="F5" s="2" t="s">
        <v>154</v>
      </c>
      <c r="G5" s="2" t="s">
        <v>155</v>
      </c>
      <c r="H5" s="2" t="s">
        <v>156</v>
      </c>
      <c r="I5" s="4">
        <v>800</v>
      </c>
      <c r="J5" s="4">
        <v>128</v>
      </c>
      <c r="K5" s="4">
        <v>928</v>
      </c>
      <c r="L5" s="2" t="s">
        <v>140</v>
      </c>
      <c r="M5" s="2"/>
      <c r="N5" s="4">
        <v>0</v>
      </c>
    </row>
    <row r="6" spans="1:14" x14ac:dyDescent="0.3">
      <c r="A6" s="2" t="s">
        <v>60</v>
      </c>
      <c r="B6" s="2" t="s">
        <v>114</v>
      </c>
      <c r="C6" s="1">
        <v>46283</v>
      </c>
      <c r="D6" s="2" t="s">
        <v>157</v>
      </c>
      <c r="E6" s="2" t="s">
        <v>158</v>
      </c>
      <c r="F6" s="2" t="s">
        <v>159</v>
      </c>
      <c r="G6" s="2" t="s">
        <v>160</v>
      </c>
      <c r="H6" s="2" t="s">
        <v>161</v>
      </c>
      <c r="I6" s="4">
        <v>1200</v>
      </c>
      <c r="J6" s="4">
        <v>192</v>
      </c>
      <c r="K6" s="4">
        <v>1392</v>
      </c>
      <c r="L6" s="2" t="s">
        <v>140</v>
      </c>
      <c r="M6" s="2"/>
      <c r="N6" s="4">
        <v>0</v>
      </c>
    </row>
    <row r="7" spans="1:14" x14ac:dyDescent="0.3">
      <c r="A7" s="2" t="s">
        <v>54</v>
      </c>
      <c r="B7" s="2" t="s">
        <v>104</v>
      </c>
      <c r="C7" s="1">
        <v>46284</v>
      </c>
      <c r="D7" s="2" t="s">
        <v>162</v>
      </c>
      <c r="E7" s="2" t="s">
        <v>163</v>
      </c>
      <c r="F7" s="2" t="s">
        <v>164</v>
      </c>
      <c r="G7" s="2" t="s">
        <v>165</v>
      </c>
      <c r="H7" s="2" t="s">
        <v>139</v>
      </c>
      <c r="I7" s="4">
        <v>3500</v>
      </c>
      <c r="J7" s="4">
        <v>560</v>
      </c>
      <c r="K7" s="4">
        <v>4060</v>
      </c>
      <c r="L7" s="2" t="s">
        <v>140</v>
      </c>
      <c r="M7" s="2"/>
      <c r="N7" s="4">
        <v>0</v>
      </c>
    </row>
    <row r="8" spans="1:14" x14ac:dyDescent="0.3">
      <c r="A8" s="2" t="s">
        <v>54</v>
      </c>
      <c r="B8" s="2" t="s">
        <v>104</v>
      </c>
      <c r="C8" s="1">
        <v>46285</v>
      </c>
      <c r="D8" s="2" t="s">
        <v>166</v>
      </c>
      <c r="E8" s="2" t="s">
        <v>167</v>
      </c>
      <c r="F8" s="2" t="s">
        <v>168</v>
      </c>
      <c r="G8" s="2" t="s">
        <v>169</v>
      </c>
      <c r="H8" s="2" t="s">
        <v>139</v>
      </c>
      <c r="I8" s="4">
        <v>1800</v>
      </c>
      <c r="J8" s="4">
        <v>288</v>
      </c>
      <c r="K8" s="4">
        <v>2100</v>
      </c>
      <c r="L8" s="2" t="s">
        <v>140</v>
      </c>
      <c r="M8" s="2"/>
      <c r="N8" s="4">
        <v>-12</v>
      </c>
    </row>
    <row r="9" spans="1:14" x14ac:dyDescent="0.3">
      <c r="A9" s="2" t="s">
        <v>26</v>
      </c>
      <c r="B9" s="2" t="s">
        <v>97</v>
      </c>
      <c r="C9" s="1">
        <v>46281</v>
      </c>
      <c r="D9" s="2" t="s">
        <v>146</v>
      </c>
      <c r="E9" s="2" t="s">
        <v>147</v>
      </c>
      <c r="F9" s="2" t="s">
        <v>148</v>
      </c>
      <c r="G9" s="2" t="s">
        <v>149</v>
      </c>
      <c r="H9" s="2" t="s">
        <v>150</v>
      </c>
      <c r="I9" s="4">
        <v>1000</v>
      </c>
      <c r="J9" s="4">
        <v>160</v>
      </c>
      <c r="K9" s="4">
        <v>1160</v>
      </c>
      <c r="L9" s="2" t="s">
        <v>140</v>
      </c>
      <c r="M9" s="2" t="s">
        <v>151</v>
      </c>
      <c r="N9" s="4">
        <v>0</v>
      </c>
    </row>
    <row r="10" spans="1:14" x14ac:dyDescent="0.3">
      <c r="A10" s="2" t="s">
        <v>40</v>
      </c>
      <c r="B10" s="2" t="s">
        <v>92</v>
      </c>
      <c r="C10" s="1">
        <v>46287</v>
      </c>
      <c r="D10" s="2" t="s">
        <v>170</v>
      </c>
      <c r="E10" s="2" t="s">
        <v>171</v>
      </c>
      <c r="F10" s="2" t="s">
        <v>172</v>
      </c>
      <c r="G10" s="2" t="s">
        <v>173</v>
      </c>
      <c r="H10" s="2" t="s">
        <v>150</v>
      </c>
      <c r="I10" s="4">
        <v>900</v>
      </c>
      <c r="J10" s="4">
        <v>144</v>
      </c>
      <c r="K10" s="4">
        <v>1044</v>
      </c>
      <c r="L10" s="2" t="s">
        <v>140</v>
      </c>
      <c r="M10" s="2"/>
      <c r="N10" s="4">
        <v>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239B8-0D23-44C7-8A6A-5ECEE2693245}">
  <dimension ref="A1:H15"/>
  <sheetViews>
    <sheetView workbookViewId="0">
      <pane ySplit="1" topLeftCell="A2" activePane="bottomLeft" state="frozenSplit"/>
      <selection pane="bottomLeft"/>
    </sheetView>
  </sheetViews>
  <sheetFormatPr baseColWidth="10" defaultRowHeight="14.4" x14ac:dyDescent="0.3"/>
  <cols>
    <col min="1" max="1" width="16.6640625" bestFit="1" customWidth="1"/>
    <col min="2" max="2" width="21.77734375" bestFit="1" customWidth="1"/>
    <col min="3" max="3" width="38.44140625" bestFit="1" customWidth="1"/>
    <col min="4" max="4" width="11.77734375" bestFit="1" customWidth="1"/>
    <col min="5" max="5" width="15.88671875" bestFit="1" customWidth="1"/>
    <col min="6" max="6" width="11.21875" bestFit="1" customWidth="1"/>
    <col min="7" max="7" width="55.77734375" customWidth="1"/>
    <col min="8" max="8" width="16" bestFit="1" customWidth="1"/>
  </cols>
  <sheetData>
    <row r="1" spans="1:8" x14ac:dyDescent="0.3">
      <c r="A1" t="s">
        <v>6</v>
      </c>
      <c r="B1" t="s">
        <v>19</v>
      </c>
      <c r="C1" t="s">
        <v>70</v>
      </c>
      <c r="D1" t="s">
        <v>71</v>
      </c>
      <c r="E1" t="s">
        <v>72</v>
      </c>
      <c r="F1" t="s">
        <v>73</v>
      </c>
      <c r="G1" t="s">
        <v>74</v>
      </c>
      <c r="H1" t="s">
        <v>75</v>
      </c>
    </row>
    <row r="2" spans="1:8" x14ac:dyDescent="0.3">
      <c r="A2" s="2" t="s">
        <v>34</v>
      </c>
      <c r="B2" s="2" t="s">
        <v>76</v>
      </c>
      <c r="C2" s="2" t="s">
        <v>77</v>
      </c>
      <c r="D2" s="2" t="s">
        <v>78</v>
      </c>
      <c r="E2" s="2" t="s">
        <v>79</v>
      </c>
      <c r="F2" s="2" t="s">
        <v>80</v>
      </c>
      <c r="G2" s="2" t="s">
        <v>81</v>
      </c>
      <c r="H2" s="3">
        <v>46290.808789826391</v>
      </c>
    </row>
    <row r="3" spans="1:8" x14ac:dyDescent="0.3">
      <c r="A3" s="2" t="s">
        <v>34</v>
      </c>
      <c r="B3" s="2" t="s">
        <v>82</v>
      </c>
      <c r="C3" s="2" t="s">
        <v>83</v>
      </c>
      <c r="D3" s="2" t="s">
        <v>84</v>
      </c>
      <c r="E3" s="2" t="s">
        <v>79</v>
      </c>
      <c r="F3" s="2" t="s">
        <v>85</v>
      </c>
      <c r="G3" s="2" t="s">
        <v>86</v>
      </c>
      <c r="H3" s="3">
        <v>46290.808789826391</v>
      </c>
    </row>
    <row r="4" spans="1:8" x14ac:dyDescent="0.3">
      <c r="A4" s="2" t="s">
        <v>40</v>
      </c>
      <c r="B4" s="2" t="s">
        <v>87</v>
      </c>
      <c r="C4" s="2" t="s">
        <v>88</v>
      </c>
      <c r="D4" s="2" t="s">
        <v>78</v>
      </c>
      <c r="E4" s="2" t="s">
        <v>89</v>
      </c>
      <c r="F4" s="2" t="s">
        <v>80</v>
      </c>
      <c r="G4" s="2" t="s">
        <v>90</v>
      </c>
      <c r="H4" s="3">
        <v>46289.808789826391</v>
      </c>
    </row>
    <row r="5" spans="1:8" x14ac:dyDescent="0.3">
      <c r="A5" s="2" t="s">
        <v>40</v>
      </c>
      <c r="B5" s="2" t="s">
        <v>91</v>
      </c>
      <c r="C5" s="2" t="s">
        <v>92</v>
      </c>
      <c r="D5" s="2" t="s">
        <v>84</v>
      </c>
      <c r="E5" s="2" t="s">
        <v>89</v>
      </c>
      <c r="F5" s="2" t="s">
        <v>85</v>
      </c>
      <c r="G5" s="2" t="s">
        <v>93</v>
      </c>
      <c r="H5" s="3">
        <v>46289.808789826391</v>
      </c>
    </row>
    <row r="6" spans="1:8" x14ac:dyDescent="0.3">
      <c r="A6" s="2" t="s">
        <v>26</v>
      </c>
      <c r="B6" s="2" t="s">
        <v>94</v>
      </c>
      <c r="C6" s="2" t="s">
        <v>95</v>
      </c>
      <c r="D6" s="2" t="s">
        <v>78</v>
      </c>
      <c r="E6" s="2" t="s">
        <v>79</v>
      </c>
      <c r="F6" s="2" t="s">
        <v>80</v>
      </c>
      <c r="G6" s="2" t="s">
        <v>96</v>
      </c>
      <c r="H6" s="3">
        <v>46292.808789826391</v>
      </c>
    </row>
    <row r="7" spans="1:8" x14ac:dyDescent="0.3">
      <c r="A7" s="2" t="s">
        <v>26</v>
      </c>
      <c r="B7" s="2" t="s">
        <v>91</v>
      </c>
      <c r="C7" s="2" t="s">
        <v>97</v>
      </c>
      <c r="D7" s="2" t="s">
        <v>84</v>
      </c>
      <c r="E7" s="2" t="s">
        <v>79</v>
      </c>
      <c r="F7" s="2" t="s">
        <v>85</v>
      </c>
      <c r="G7" s="2" t="s">
        <v>98</v>
      </c>
      <c r="H7" s="3">
        <v>46292.808789826391</v>
      </c>
    </row>
    <row r="8" spans="1:8" x14ac:dyDescent="0.3">
      <c r="A8" s="2" t="s">
        <v>47</v>
      </c>
      <c r="B8" s="2" t="s">
        <v>51</v>
      </c>
      <c r="C8" s="2" t="s">
        <v>99</v>
      </c>
      <c r="D8" s="2" t="s">
        <v>78</v>
      </c>
      <c r="E8" s="2" t="s">
        <v>79</v>
      </c>
      <c r="F8" s="2" t="s">
        <v>80</v>
      </c>
      <c r="G8" s="2" t="s">
        <v>100</v>
      </c>
      <c r="H8" s="3">
        <v>46287.808789826391</v>
      </c>
    </row>
    <row r="9" spans="1:8" x14ac:dyDescent="0.3">
      <c r="A9" s="2" t="s">
        <v>54</v>
      </c>
      <c r="B9" s="2" t="s">
        <v>101</v>
      </c>
      <c r="C9" s="2" t="s">
        <v>102</v>
      </c>
      <c r="D9" s="2" t="s">
        <v>78</v>
      </c>
      <c r="E9" s="2" t="s">
        <v>79</v>
      </c>
      <c r="F9" s="2" t="s">
        <v>80</v>
      </c>
      <c r="G9" s="2" t="s">
        <v>103</v>
      </c>
      <c r="H9" s="3">
        <v>46286.808789826391</v>
      </c>
    </row>
    <row r="10" spans="1:8" x14ac:dyDescent="0.3">
      <c r="A10" s="2" t="s">
        <v>54</v>
      </c>
      <c r="B10" s="2" t="s">
        <v>91</v>
      </c>
      <c r="C10" s="2" t="s">
        <v>104</v>
      </c>
      <c r="D10" s="2" t="s">
        <v>84</v>
      </c>
      <c r="E10" s="2" t="s">
        <v>79</v>
      </c>
      <c r="F10" s="2" t="s">
        <v>85</v>
      </c>
      <c r="G10" s="2" t="s">
        <v>105</v>
      </c>
      <c r="H10" s="3">
        <v>46286.808789826391</v>
      </c>
    </row>
    <row r="11" spans="1:8" x14ac:dyDescent="0.3">
      <c r="A11" s="2" t="s">
        <v>60</v>
      </c>
      <c r="B11" s="2" t="s">
        <v>106</v>
      </c>
      <c r="C11" s="2" t="s">
        <v>107</v>
      </c>
      <c r="D11" s="2" t="s">
        <v>108</v>
      </c>
      <c r="E11" s="2" t="s">
        <v>109</v>
      </c>
      <c r="F11" s="2" t="s">
        <v>110</v>
      </c>
      <c r="G11" s="2" t="s">
        <v>111</v>
      </c>
      <c r="H11" s="3">
        <v>46284.808789826391</v>
      </c>
    </row>
    <row r="12" spans="1:8" x14ac:dyDescent="0.3">
      <c r="A12" s="2" t="s">
        <v>60</v>
      </c>
      <c r="B12" s="2" t="s">
        <v>94</v>
      </c>
      <c r="C12" s="2" t="s">
        <v>112</v>
      </c>
      <c r="D12" s="2" t="s">
        <v>78</v>
      </c>
      <c r="E12" s="2" t="s">
        <v>109</v>
      </c>
      <c r="F12" s="2" t="s">
        <v>80</v>
      </c>
      <c r="G12" s="2" t="s">
        <v>113</v>
      </c>
      <c r="H12" s="3">
        <v>46284.808789826391</v>
      </c>
    </row>
    <row r="13" spans="1:8" x14ac:dyDescent="0.3">
      <c r="A13" s="2" t="s">
        <v>60</v>
      </c>
      <c r="B13" s="2" t="s">
        <v>91</v>
      </c>
      <c r="C13" s="2" t="s">
        <v>114</v>
      </c>
      <c r="D13" s="2" t="s">
        <v>84</v>
      </c>
      <c r="E13" s="2" t="s">
        <v>109</v>
      </c>
      <c r="F13" s="2" t="s">
        <v>85</v>
      </c>
      <c r="G13" s="2" t="s">
        <v>115</v>
      </c>
      <c r="H13" s="3">
        <v>46284.808789826391</v>
      </c>
    </row>
    <row r="14" spans="1:8" x14ac:dyDescent="0.3">
      <c r="A14" s="2" t="s">
        <v>11</v>
      </c>
      <c r="B14" s="2" t="s">
        <v>116</v>
      </c>
      <c r="C14" s="2" t="s">
        <v>117</v>
      </c>
      <c r="D14" s="2" t="s">
        <v>78</v>
      </c>
      <c r="E14" s="2" t="s">
        <v>109</v>
      </c>
      <c r="F14" s="2" t="s">
        <v>80</v>
      </c>
      <c r="G14" s="2" t="s">
        <v>118</v>
      </c>
      <c r="H14" s="3">
        <v>46258.808789826391</v>
      </c>
    </row>
    <row r="15" spans="1:8" x14ac:dyDescent="0.3">
      <c r="A15" s="2" t="s">
        <v>11</v>
      </c>
      <c r="B15" s="2" t="s">
        <v>119</v>
      </c>
      <c r="C15" s="2" t="s">
        <v>120</v>
      </c>
      <c r="D15" s="2" t="s">
        <v>84</v>
      </c>
      <c r="E15" s="2" t="s">
        <v>109</v>
      </c>
      <c r="F15" s="2" t="s">
        <v>85</v>
      </c>
      <c r="G15" s="2" t="s">
        <v>121</v>
      </c>
      <c r="H15" s="3">
        <v>46258.808789826391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53307-0C19-4B5A-8199-B0CFEDA08E90}">
  <dimension ref="A1:D2"/>
  <sheetViews>
    <sheetView workbookViewId="0">
      <pane ySplit="1" topLeftCell="A2" activePane="bottomLeft" state="frozenSplit"/>
      <selection pane="bottomLeft"/>
    </sheetView>
  </sheetViews>
  <sheetFormatPr baseColWidth="10" defaultRowHeight="14.4" x14ac:dyDescent="0.3"/>
  <cols>
    <col min="1" max="1" width="16.6640625" bestFit="1" customWidth="1"/>
    <col min="2" max="2" width="38.44140625" bestFit="1" customWidth="1"/>
    <col min="3" max="4" width="55.77734375" customWidth="1"/>
  </cols>
  <sheetData>
    <row r="1" spans="1:4" x14ac:dyDescent="0.3">
      <c r="A1" t="s">
        <v>6</v>
      </c>
      <c r="B1" t="s">
        <v>122</v>
      </c>
      <c r="C1" t="s">
        <v>74</v>
      </c>
      <c r="D1" t="s">
        <v>174</v>
      </c>
    </row>
    <row r="2" spans="1:4" x14ac:dyDescent="0.3">
      <c r="A2" s="2" t="s">
        <v>34</v>
      </c>
      <c r="B2" s="2" t="s">
        <v>83</v>
      </c>
      <c r="C2" s="2" t="s">
        <v>86</v>
      </c>
      <c r="D2" s="2" t="s">
        <v>175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047E0-006A-4896-8C3B-0F25ADF1589A}">
  <dimension ref="A1:B5"/>
  <sheetViews>
    <sheetView workbookViewId="0"/>
  </sheetViews>
  <sheetFormatPr baseColWidth="10" defaultRowHeight="14.4" x14ac:dyDescent="0.3"/>
  <sheetData>
    <row r="1" spans="1:2" x14ac:dyDescent="0.3">
      <c r="A1" t="s">
        <v>0</v>
      </c>
      <c r="B1" t="s">
        <v>5</v>
      </c>
    </row>
    <row r="2" spans="1:2" x14ac:dyDescent="0.3">
      <c r="A2" t="s">
        <v>1</v>
      </c>
      <c r="B2">
        <v>43831</v>
      </c>
    </row>
    <row r="3" spans="1:2" x14ac:dyDescent="0.3">
      <c r="A3" t="s">
        <v>2</v>
      </c>
    </row>
    <row r="4" spans="1:2" x14ac:dyDescent="0.3">
      <c r="A4" t="s">
        <v>3</v>
      </c>
    </row>
    <row r="5" spans="1:2" x14ac:dyDescent="0.3">
      <c r="A5" t="s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A51587-80C3-44B8-8F9E-2D6AB3D7B7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3</vt:i4>
      </vt:variant>
    </vt:vector>
  </HeadingPairs>
  <TitlesOfParts>
    <vt:vector size="13" baseType="lpstr">
      <vt:lpstr>Inicio</vt:lpstr>
      <vt:lpstr>Resumen</vt:lpstr>
      <vt:lpstr>Registro</vt:lpstr>
      <vt:lpstr>Alertas</vt:lpstr>
      <vt:lpstr>Consolidado_Operam</vt:lpstr>
      <vt:lpstr>Control_Operam</vt:lpstr>
      <vt:lpstr>Gastos</vt:lpstr>
      <vt:lpstr>Soportes</vt:lpstr>
      <vt:lpstr>Errores_Lectura</vt:lpstr>
      <vt:lpstr>Listas</vt:lpstr>
      <vt:lpstr>fechaMinimaCarga</vt:lpstr>
      <vt:lpstr>lstEstados</vt:lpstr>
      <vt:lpstr>lstIdsRegistro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orrego castaño</dc:creator>
  <cp:lastModifiedBy>santiago orrego castaño</cp:lastModifiedBy>
  <dcterms:created xsi:type="dcterms:W3CDTF">2026-09-29T00:24:26Z</dcterms:created>
  <dcterms:modified xsi:type="dcterms:W3CDTF">2026-09-29T00:24:44Z</dcterms:modified>
</cp:coreProperties>
</file>